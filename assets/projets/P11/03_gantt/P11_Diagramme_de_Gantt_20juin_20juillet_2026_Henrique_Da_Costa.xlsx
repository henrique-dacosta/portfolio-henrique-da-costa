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ata\P11\Livrables P11\Gantt\"/>
    </mc:Choice>
  </mc:AlternateContent>
  <xr:revisionPtr revIDLastSave="0" documentId="8_{15B135A4-9FCF-4777-BB07-A100F5F63A17}" xr6:coauthVersionLast="47" xr6:coauthVersionMax="47" xr10:uidLastSave="{00000000-0000-0000-0000-000000000000}"/>
  <bookViews>
    <workbookView xWindow="-108" yWindow="-108" windowWidth="23256" windowHeight="12456" activeTab="2" xr2:uid="{00000000-000D-0000-FFFF-FFFF00000000}"/>
  </bookViews>
  <sheets>
    <sheet name="Synthèse" sheetId="1" r:id="rId1"/>
    <sheet name="Plan détaillé" sheetId="2" r:id="rId2"/>
    <sheet name="Gant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3" i="2" l="1"/>
  <c r="K22" i="2"/>
  <c r="K21" i="2"/>
  <c r="K20" i="2"/>
  <c r="K19" i="2"/>
  <c r="K18" i="2"/>
  <c r="K17" i="2"/>
  <c r="K16" i="2"/>
  <c r="K15" i="2"/>
  <c r="K14" i="2"/>
  <c r="K13" i="2"/>
  <c r="K12" i="2"/>
  <c r="K11" i="2"/>
  <c r="K10" i="2"/>
  <c r="K9" i="2"/>
  <c r="K8" i="2"/>
  <c r="K7" i="2"/>
  <c r="K6" i="2"/>
  <c r="K5" i="2"/>
  <c r="K4" i="2"/>
  <c r="K3" i="2"/>
  <c r="K2" i="2"/>
</calcChain>
</file>

<file path=xl/sharedStrings.xml><?xml version="1.0" encoding="utf-8"?>
<sst xmlns="http://schemas.openxmlformats.org/spreadsheetml/2006/main" count="355" uniqueCount="147">
  <si>
    <t>PROJET 11 - PLANNING PRÉVISIONNEL DE RÉFÉRENCE</t>
  </si>
  <si>
    <t>Indicateur</t>
  </si>
  <si>
    <t>Valeur</t>
  </si>
  <si>
    <t>Cadre</t>
  </si>
  <si>
    <t>Objectif de calendrier</t>
  </si>
  <si>
    <t>Charge totale de mission</t>
  </si>
  <si>
    <t>Période de réalisation</t>
  </si>
  <si>
    <t>20/06/2026 - 20/07/2026</t>
  </si>
  <si>
    <t>Achever les 70 heures de production au 20 juillet, obtenir les validations mentor, soutenir le projet avant le 31 juillet et commencer le stage le 1er août 2026.</t>
  </si>
  <si>
    <t>Début de la mission</t>
  </si>
  <si>
    <t>Fenêtre de validation</t>
  </si>
  <si>
    <t>21/07/2026 - 30/07/2026</t>
  </si>
  <si>
    <t>Fin de production</t>
  </si>
  <si>
    <t>Étapes mentor</t>
  </si>
  <si>
    <t>Soutenance finale visée</t>
  </si>
  <si>
    <t>Tâches opérationnelles</t>
  </si>
  <si>
    <t>Début du stage</t>
  </si>
  <si>
    <t>Jalons</t>
  </si>
  <si>
    <t>Hypothèse de planification</t>
  </si>
  <si>
    <t>Le présent document constitue le planning prévisionnel de référence du projet P11. Il considère que l'ensemble des productions est engagé à partir de zéro le 20 juin 2026. La charge de 70 heures est entièrement répartie jusqu'au 20 juillet. La période du 21 au 30 juillet est réservée aux validations, corrections éventuelles, soutenance blanche et soutenance finale.</t>
  </si>
  <si>
    <t>Phase</t>
  </si>
  <si>
    <t>Charge prévue (h)</t>
  </si>
  <si>
    <t>Part du total</t>
  </si>
  <si>
    <t>Période principale</t>
  </si>
  <si>
    <t>Jalons OpenClassrooms et soutenance</t>
  </si>
  <si>
    <t>1. Cadrage</t>
  </si>
  <si>
    <t>20/06 - 27/06</t>
  </si>
  <si>
    <t>M01</t>
  </si>
  <si>
    <t>Carte mentale</t>
  </si>
  <si>
    <t>26/06/2026</t>
  </si>
  <si>
    <t>2. Conception</t>
  </si>
  <si>
    <t>28/06 - 03/07</t>
  </si>
  <si>
    <t>M02</t>
  </si>
  <si>
    <t>Livrables organisationnels</t>
  </si>
  <si>
    <t>27/06/2026</t>
  </si>
  <si>
    <t>3. Productions client</t>
  </si>
  <si>
    <t>04/07 - 15/07</t>
  </si>
  <si>
    <t>M03</t>
  </si>
  <si>
    <t>Mock-ups</t>
  </si>
  <si>
    <t>03/07/2026</t>
  </si>
  <si>
    <t>4. Construction et finalisation</t>
  </si>
  <si>
    <t>16/07 - 20/07</t>
  </si>
  <si>
    <t>M04</t>
  </si>
  <si>
    <t>Derniers livrables client</t>
  </si>
  <si>
    <t>21/07/2026</t>
  </si>
  <si>
    <t>M05</t>
  </si>
  <si>
    <t>Soutenance blanche</t>
  </si>
  <si>
    <t>24/07/2026</t>
  </si>
  <si>
    <t>M06</t>
  </si>
  <si>
    <t>28/07/2026</t>
  </si>
  <si>
    <t>M07</t>
  </si>
  <si>
    <t>Date butoir interne</t>
  </si>
  <si>
    <t>30/07/2026</t>
  </si>
  <si>
    <t>ID</t>
  </si>
  <si>
    <t>Type</t>
  </si>
  <si>
    <t>Tâche / jalon</t>
  </si>
  <si>
    <t>Livrable attendu</t>
  </si>
  <si>
    <t>Durée (h)</t>
  </si>
  <si>
    <t>Début</t>
  </si>
  <si>
    <t>Fin</t>
  </si>
  <si>
    <t>Statut</t>
  </si>
  <si>
    <t>Dépendances</t>
  </si>
  <si>
    <t>Jours calendaires</t>
  </si>
  <si>
    <t>T01</t>
  </si>
  <si>
    <t>Tâche</t>
  </si>
  <si>
    <t>Analyse du besoin métier client</t>
  </si>
  <si>
    <t>Rapport d'analyse du besoin</t>
  </si>
  <si>
    <t>Planifié</t>
  </si>
  <si>
    <t>-</t>
  </si>
  <si>
    <t>T02</t>
  </si>
  <si>
    <t>Cahier des charges fonctionnel</t>
  </si>
  <si>
    <t>Cahier des charges</t>
  </si>
  <si>
    <t>T03</t>
  </si>
  <si>
    <t>Carte mentale du projet portfolio</t>
  </si>
  <si>
    <t>Carte mentale PNG/PDF</t>
  </si>
  <si>
    <t>Jalon</t>
  </si>
  <si>
    <t>Validation mentor - carte mentale</t>
  </si>
  <si>
    <t>Validation étape 1 OC</t>
  </si>
  <si>
    <t>T04</t>
  </si>
  <si>
    <t>Diagramme de Gantt et planification</t>
  </si>
  <si>
    <t>Gantt XLSX/PDF</t>
  </si>
  <si>
    <t>T01, T02</t>
  </si>
  <si>
    <t>Validation mentor - livrables organisationnels</t>
  </si>
  <si>
    <t>Validation étape 2 OC</t>
  </si>
  <si>
    <t>T02, T04</t>
  </si>
  <si>
    <t>T05</t>
  </si>
  <si>
    <t>Mock-ups : portfolio, veille et profil</t>
  </si>
  <si>
    <t>Trois mock-ups consolidés</t>
  </si>
  <si>
    <t>Validation mentor - mock-ups</t>
  </si>
  <si>
    <t>Validation étape 3 OC</t>
  </si>
  <si>
    <t>T06</t>
  </si>
  <si>
    <t>Tableau de bord de veille métier et technologique</t>
  </si>
  <si>
    <t>Dashboard Power BI/Tableau</t>
  </si>
  <si>
    <t>T07</t>
  </si>
  <si>
    <t>Tableau de bord de présentation du profil</t>
  </si>
  <si>
    <t>T08</t>
  </si>
  <si>
    <t>Vidéo de formation (8 minutes minimum)</t>
  </si>
  <si>
    <t>Vidéo Loom/équivalent</t>
  </si>
  <si>
    <t>T06 ou T07</t>
  </si>
  <si>
    <t>T09</t>
  </si>
  <si>
    <t>Documentation utilisateur associée</t>
  </si>
  <si>
    <t>Guide utilisateur PDF</t>
  </si>
  <si>
    <t>T10</t>
  </si>
  <si>
    <t>Documentation technique du portfolio</t>
  </si>
  <si>
    <t>Documentation technique</t>
  </si>
  <si>
    <t>T02, T05</t>
  </si>
  <si>
    <t>T11</t>
  </si>
  <si>
    <t>Développement et intégration du portfolio</t>
  </si>
  <si>
    <t>Portfolio consolidé</t>
  </si>
  <si>
    <t>T06 à T10</t>
  </si>
  <si>
    <t>T12</t>
  </si>
  <si>
    <t>Recette, sécurité et optimisation</t>
  </si>
  <si>
    <t>PV de recette / audit</t>
  </si>
  <si>
    <t>T13</t>
  </si>
  <si>
    <t>Déploiement GitHub et Streamlit Cloud</t>
  </si>
  <si>
    <t>URL publique et dépôt</t>
  </si>
  <si>
    <t>T14</t>
  </si>
  <si>
    <t>Support de soutenance</t>
  </si>
  <si>
    <t>Support PPTX/PDF</t>
  </si>
  <si>
    <t>T15</t>
  </si>
  <si>
    <t>Répétition et remise des livrables</t>
  </si>
  <si>
    <t>Dossier final remis</t>
  </si>
  <si>
    <t>5. Validation et soutenance</t>
  </si>
  <si>
    <t>Validation mentor - derniers livrables client</t>
  </si>
  <si>
    <t>Validation étape 4 OC</t>
  </si>
  <si>
    <t>Validation étape 5 OC</t>
  </si>
  <si>
    <t>Projet soutenu</t>
  </si>
  <si>
    <t>Date butoir interne avant stage</t>
  </si>
  <si>
    <t>Marge de sécurité</t>
  </si>
  <si>
    <t>DIAGRAMME DE GANTT - MISSION P11</t>
  </si>
  <si>
    <t>70 heures de production du 20/06 au 20/07 - validations et soutenance du 21/07 au 30/07 - stage le 01/08/2026</t>
  </si>
  <si>
    <t>h</t>
  </si>
  <si>
    <t>S25
15/06</t>
  </si>
  <si>
    <t>S26
22/06</t>
  </si>
  <si>
    <t>S27
29/06</t>
  </si>
  <si>
    <t>S28
06/07</t>
  </si>
  <si>
    <t>S29
13/07</t>
  </si>
  <si>
    <t>S30
20/07</t>
  </si>
  <si>
    <t>S31
27/07</t>
  </si>
  <si>
    <t>■</t>
  </si>
  <si>
    <t>◆</t>
  </si>
  <si>
    <t>Mission démarrant le 20 juin 2026</t>
  </si>
  <si>
    <r>
      <t xml:space="preserve">         </t>
    </r>
    <r>
      <rPr>
        <sz val="11"/>
        <color rgb="FF0F172A"/>
        <rFont val="Carlito"/>
      </rPr>
      <t>Cadrage</t>
    </r>
    <r>
      <rPr>
        <b/>
        <sz val="11"/>
        <color rgb="FF0F172A"/>
        <rFont val="Carlito"/>
      </rPr>
      <t xml:space="preserve">          </t>
    </r>
    <r>
      <rPr>
        <sz val="11"/>
        <color rgb="FF0F172A"/>
        <rFont val="Carlito"/>
      </rPr>
      <t>Conception</t>
    </r>
    <r>
      <rPr>
        <b/>
        <sz val="11"/>
        <color rgb="FF0F172A"/>
        <rFont val="Carlito"/>
      </rPr>
      <t xml:space="preserve">         </t>
    </r>
    <r>
      <rPr>
        <sz val="11"/>
        <color rgb="FF0F172A"/>
        <rFont val="Carlito"/>
      </rPr>
      <t>Production client</t>
    </r>
  </si>
  <si>
    <t xml:space="preserve">          </t>
  </si>
  <si>
    <t xml:space="preserve">                                                        </t>
  </si>
  <si>
    <r>
      <t xml:space="preserve">         </t>
    </r>
    <r>
      <rPr>
        <sz val="11"/>
        <rFont val="Carlito"/>
      </rPr>
      <t>Finalisation</t>
    </r>
    <r>
      <rPr>
        <b/>
        <sz val="11"/>
        <color rgb="FF0F172A"/>
        <rFont val="Carlito"/>
      </rPr>
      <t xml:space="preserve">        </t>
    </r>
    <r>
      <rPr>
        <sz val="11"/>
        <color rgb="FF0F172A"/>
        <rFont val="Carlito"/>
      </rPr>
      <t>Jalon</t>
    </r>
  </si>
  <si>
    <r>
      <t xml:space="preserve">                                  </t>
    </r>
    <r>
      <rPr>
        <b/>
        <sz val="11"/>
        <rFont val="Carlito"/>
      </rPr>
      <t>Légende :</t>
    </r>
    <r>
      <rPr>
        <b/>
        <sz val="11"/>
        <color rgb="FFB45309"/>
        <rFont val="Carlito"/>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</si>
</sst>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h&quot;"/>
    <numFmt numFmtId="165" formatCode="0\ &quot;j&quot;"/>
  </numFmts>
  <fonts count="13">
    <font>
      <sz val="11"/>
      <name val="Carlito"/>
    </font>
    <font>
      <b/>
      <sz val="19"/>
      <color rgb="FFFFFFFF"/>
      <name val="Carlito"/>
    </font>
    <font>
      <b/>
      <sz val="11"/>
      <color rgb="FF172554"/>
      <name val="Carlito"/>
    </font>
    <font>
      <b/>
      <sz val="11"/>
      <color rgb="FFFFFFFF"/>
      <name val="Carlito"/>
    </font>
    <font>
      <b/>
      <sz val="11"/>
      <color rgb="FF0F172A"/>
      <name val="Carlito"/>
    </font>
    <font>
      <sz val="11"/>
      <color rgb="FF0F172A"/>
      <name val="Carlito"/>
    </font>
    <font>
      <sz val="11"/>
      <color rgb="FF0F172A"/>
      <name val="Carlito"/>
    </font>
    <font>
      <b/>
      <sz val="11"/>
      <color rgb="FF2563EB"/>
      <name val="Carlito"/>
    </font>
    <font>
      <b/>
      <sz val="11"/>
      <color rgb="FFB45309"/>
      <name val="Carlito"/>
    </font>
    <font>
      <b/>
      <sz val="11"/>
      <color rgb="FF0F766E"/>
      <name val="Carlito"/>
    </font>
    <font>
      <b/>
      <sz val="11"/>
      <color rgb="FF6D28D9"/>
      <name val="Carlito"/>
    </font>
    <font>
      <b/>
      <sz val="18"/>
      <color rgb="FFFFFFFF"/>
      <name val="Carlito"/>
    </font>
    <font>
      <b/>
      <sz val="11"/>
      <name val="Carlito"/>
    </font>
  </fonts>
  <fills count="8">
    <fill>
      <patternFill patternType="none"/>
    </fill>
    <fill>
      <patternFill patternType="gray125"/>
    </fill>
    <fill>
      <patternFill patternType="solid">
        <fgColor rgb="FF172554"/>
      </patternFill>
    </fill>
    <fill>
      <patternFill patternType="solid">
        <fgColor rgb="FFEFF6FF"/>
      </patternFill>
    </fill>
    <fill>
      <patternFill patternType="solid">
        <fgColor rgb="FFECFDF5"/>
      </patternFill>
    </fill>
    <fill>
      <patternFill patternType="solid">
        <fgColor rgb="FFF8FAFC"/>
      </patternFill>
    </fill>
    <fill>
      <patternFill patternType="solid">
        <fgColor rgb="FFFFF7ED"/>
      </patternFill>
    </fill>
    <fill>
      <patternFill patternType="solid">
        <fgColor rgb="FFF5F3FF"/>
      </patternFill>
    </fill>
  </fills>
  <borders count="1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86">
    <xf numFmtId="0" fontId="0" fillId="0" borderId="0" xfId="0"/>
    <xf numFmtId="0" fontId="3" fillId="2" borderId="0" xfId="0" applyFont="1" applyFill="1" applyAlignment="1">
      <alignment horizontal="center" vertical="center" wrapText="1"/>
    </xf>
    <xf numFmtId="0" fontId="0" fillId="0" borderId="0" xfId="0" applyAlignment="1">
      <alignment wrapText="1"/>
    </xf>
    <xf numFmtId="0" fontId="0" fillId="0" borderId="1" xfId="0" applyBorder="1" applyAlignment="1">
      <alignment wrapText="1"/>
    </xf>
    <xf numFmtId="164" fontId="0" fillId="0" borderId="2" xfId="0" applyNumberFormat="1" applyBorder="1" applyAlignment="1">
      <alignment wrapText="1"/>
    </xf>
    <xf numFmtId="0" fontId="0" fillId="0" borderId="2" xfId="0" applyBorder="1" applyAlignment="1">
      <alignment wrapText="1"/>
    </xf>
    <xf numFmtId="0" fontId="0" fillId="0" borderId="3" xfId="0" applyBorder="1" applyAlignment="1">
      <alignment wrapText="1"/>
    </xf>
    <xf numFmtId="14" fontId="0" fillId="0" borderId="4" xfId="0" applyNumberFormat="1" applyBorder="1" applyAlignment="1">
      <alignment wrapText="1"/>
    </xf>
    <xf numFmtId="0" fontId="0" fillId="0" borderId="4" xfId="0" applyBorder="1" applyAlignment="1">
      <alignment wrapText="1"/>
    </xf>
    <xf numFmtId="0" fontId="0" fillId="0" borderId="5" xfId="0" applyBorder="1" applyAlignment="1">
      <alignment wrapText="1"/>
    </xf>
    <xf numFmtId="14" fontId="0" fillId="0" borderId="6" xfId="0" applyNumberFormat="1" applyBorder="1" applyAlignment="1">
      <alignment wrapText="1"/>
    </xf>
    <xf numFmtId="0" fontId="0" fillId="0" borderId="6" xfId="0" applyBorder="1" applyAlignment="1">
      <alignment wrapText="1"/>
    </xf>
    <xf numFmtId="0" fontId="0" fillId="0" borderId="7" xfId="0" applyBorder="1" applyAlignment="1">
      <alignment wrapText="1"/>
    </xf>
    <xf numFmtId="9" fontId="0" fillId="0" borderId="7" xfId="0" applyNumberFormat="1" applyBorder="1" applyAlignment="1">
      <alignment wrapText="1"/>
    </xf>
    <xf numFmtId="9" fontId="0" fillId="0" borderId="0" xfId="0" applyNumberFormat="1" applyAlignment="1">
      <alignment wrapText="1"/>
    </xf>
    <xf numFmtId="0" fontId="0" fillId="0" borderId="8" xfId="0" applyBorder="1" applyAlignment="1">
      <alignment wrapText="1"/>
    </xf>
    <xf numFmtId="9" fontId="0" fillId="0" borderId="8" xfId="0" applyNumberFormat="1" applyBorder="1" applyAlignment="1">
      <alignment wrapText="1"/>
    </xf>
    <xf numFmtId="0" fontId="6" fillId="3" borderId="9" xfId="0" applyFont="1" applyFill="1" applyBorder="1" applyAlignment="1">
      <alignment wrapText="1"/>
    </xf>
    <xf numFmtId="0" fontId="6" fillId="3" borderId="10" xfId="0" applyFont="1" applyFill="1" applyBorder="1" applyAlignment="1">
      <alignment wrapText="1"/>
    </xf>
    <xf numFmtId="164" fontId="6" fillId="3" borderId="10" xfId="0" applyNumberFormat="1" applyFont="1" applyFill="1" applyBorder="1" applyAlignment="1">
      <alignment wrapText="1"/>
    </xf>
    <xf numFmtId="14" fontId="6" fillId="3" borderId="10" xfId="0" applyNumberFormat="1" applyFont="1" applyFill="1" applyBorder="1" applyAlignment="1">
      <alignment wrapText="1"/>
    </xf>
    <xf numFmtId="165" fontId="6" fillId="3" borderId="11" xfId="0" applyNumberFormat="1" applyFont="1" applyFill="1" applyBorder="1" applyAlignment="1">
      <alignment wrapText="1"/>
    </xf>
    <xf numFmtId="0" fontId="7" fillId="3" borderId="9" xfId="0" applyFont="1" applyFill="1" applyBorder="1" applyAlignment="1">
      <alignment wrapText="1"/>
    </xf>
    <xf numFmtId="0" fontId="4" fillId="6" borderId="9" xfId="0" applyFont="1" applyFill="1" applyBorder="1" applyAlignment="1">
      <alignment wrapText="1"/>
    </xf>
    <xf numFmtId="0" fontId="4" fillId="6" borderId="10" xfId="0" applyFont="1" applyFill="1" applyBorder="1" applyAlignment="1">
      <alignment wrapText="1"/>
    </xf>
    <xf numFmtId="164" fontId="4" fillId="6" borderId="10" xfId="0" applyNumberFormat="1" applyFont="1" applyFill="1" applyBorder="1" applyAlignment="1">
      <alignment wrapText="1"/>
    </xf>
    <xf numFmtId="14" fontId="4" fillId="6" borderId="10" xfId="0" applyNumberFormat="1" applyFont="1" applyFill="1" applyBorder="1" applyAlignment="1">
      <alignment wrapText="1"/>
    </xf>
    <xf numFmtId="165" fontId="4" fillId="6" borderId="11" xfId="0" applyNumberFormat="1" applyFont="1" applyFill="1" applyBorder="1" applyAlignment="1">
      <alignment wrapText="1"/>
    </xf>
    <xf numFmtId="0" fontId="8" fillId="6" borderId="9" xfId="0" applyFont="1" applyFill="1" applyBorder="1" applyAlignment="1">
      <alignment wrapText="1"/>
    </xf>
    <xf numFmtId="0" fontId="6" fillId="4" borderId="9" xfId="0" applyFont="1" applyFill="1" applyBorder="1" applyAlignment="1">
      <alignment wrapText="1"/>
    </xf>
    <xf numFmtId="0" fontId="6" fillId="4" borderId="10" xfId="0" applyFont="1" applyFill="1" applyBorder="1" applyAlignment="1">
      <alignment wrapText="1"/>
    </xf>
    <xf numFmtId="164" fontId="6" fillId="4" borderId="10" xfId="0" applyNumberFormat="1" applyFont="1" applyFill="1" applyBorder="1" applyAlignment="1">
      <alignment wrapText="1"/>
    </xf>
    <xf numFmtId="14" fontId="6" fillId="4" borderId="10" xfId="0" applyNumberFormat="1" applyFont="1" applyFill="1" applyBorder="1" applyAlignment="1">
      <alignment wrapText="1"/>
    </xf>
    <xf numFmtId="165" fontId="6" fillId="4" borderId="11" xfId="0" applyNumberFormat="1" applyFont="1" applyFill="1" applyBorder="1" applyAlignment="1">
      <alignment wrapText="1"/>
    </xf>
    <xf numFmtId="0" fontId="9" fillId="4" borderId="9" xfId="0" applyFont="1" applyFill="1" applyBorder="1" applyAlignment="1">
      <alignment wrapText="1"/>
    </xf>
    <xf numFmtId="0" fontId="6" fillId="7" borderId="9" xfId="0" applyFont="1" applyFill="1" applyBorder="1" applyAlignment="1">
      <alignment wrapText="1"/>
    </xf>
    <xf numFmtId="0" fontId="6" fillId="7" borderId="10" xfId="0" applyFont="1" applyFill="1" applyBorder="1" applyAlignment="1">
      <alignment wrapText="1"/>
    </xf>
    <xf numFmtId="164" fontId="6" fillId="7" borderId="10" xfId="0" applyNumberFormat="1" applyFont="1" applyFill="1" applyBorder="1" applyAlignment="1">
      <alignment wrapText="1"/>
    </xf>
    <xf numFmtId="14" fontId="6" fillId="7" borderId="10" xfId="0" applyNumberFormat="1" applyFont="1" applyFill="1" applyBorder="1" applyAlignment="1">
      <alignment wrapText="1"/>
    </xf>
    <xf numFmtId="165" fontId="6" fillId="7" borderId="11" xfId="0" applyNumberFormat="1" applyFont="1" applyFill="1" applyBorder="1" applyAlignment="1">
      <alignment wrapText="1"/>
    </xf>
    <xf numFmtId="0" fontId="10" fillId="7" borderId="9" xfId="0" applyFont="1" applyFill="1" applyBorder="1" applyAlignment="1">
      <alignment wrapText="1"/>
    </xf>
    <xf numFmtId="0" fontId="6" fillId="6" borderId="9" xfId="0" applyFont="1" applyFill="1" applyBorder="1" applyAlignment="1">
      <alignment wrapText="1"/>
    </xf>
    <xf numFmtId="0" fontId="6" fillId="6" borderId="10" xfId="0" applyFont="1" applyFill="1" applyBorder="1" applyAlignment="1">
      <alignment wrapText="1"/>
    </xf>
    <xf numFmtId="164" fontId="6" fillId="6" borderId="10" xfId="0" applyNumberFormat="1" applyFont="1" applyFill="1" applyBorder="1" applyAlignment="1">
      <alignment wrapText="1"/>
    </xf>
    <xf numFmtId="14" fontId="6" fillId="6" borderId="10" xfId="0" applyNumberFormat="1" applyFont="1" applyFill="1" applyBorder="1" applyAlignment="1">
      <alignment wrapText="1"/>
    </xf>
    <xf numFmtId="165" fontId="6" fillId="6" borderId="11" xfId="0" applyNumberFormat="1" applyFont="1" applyFill="1" applyBorder="1" applyAlignment="1">
      <alignment wrapText="1"/>
    </xf>
    <xf numFmtId="0" fontId="6" fillId="3" borderId="11" xfId="0" applyFont="1" applyFill="1" applyBorder="1" applyAlignment="1">
      <alignment wrapText="1"/>
    </xf>
    <xf numFmtId="0" fontId="7" fillId="3" borderId="9"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11" xfId="0" applyFont="1" applyFill="1" applyBorder="1" applyAlignment="1">
      <alignment horizontal="center" vertical="center"/>
    </xf>
    <xf numFmtId="0" fontId="4" fillId="6" borderId="11" xfId="0" applyFont="1" applyFill="1" applyBorder="1" applyAlignment="1">
      <alignment wrapText="1"/>
    </xf>
    <xf numFmtId="0" fontId="8" fillId="6" borderId="9" xfId="0" applyFont="1" applyFill="1" applyBorder="1" applyAlignment="1">
      <alignment horizontal="center" vertical="center"/>
    </xf>
    <xf numFmtId="0" fontId="8" fillId="6" borderId="10" xfId="0" applyFont="1" applyFill="1" applyBorder="1" applyAlignment="1">
      <alignment horizontal="center" vertical="center"/>
    </xf>
    <xf numFmtId="0" fontId="8" fillId="6" borderId="11" xfId="0" applyFont="1" applyFill="1" applyBorder="1" applyAlignment="1">
      <alignment horizontal="center" vertical="center"/>
    </xf>
    <xf numFmtId="0" fontId="6" fillId="4" borderId="11" xfId="0" applyFont="1" applyFill="1" applyBorder="1" applyAlignment="1">
      <alignment wrapText="1"/>
    </xf>
    <xf numFmtId="0" fontId="9" fillId="4" borderId="9" xfId="0" applyFont="1" applyFill="1" applyBorder="1" applyAlignment="1">
      <alignment horizontal="center" vertical="center"/>
    </xf>
    <xf numFmtId="0" fontId="9" fillId="4" borderId="10" xfId="0" applyFont="1" applyFill="1" applyBorder="1" applyAlignment="1">
      <alignment horizontal="center" vertical="center"/>
    </xf>
    <xf numFmtId="0" fontId="9" fillId="4" borderId="11" xfId="0" applyFont="1" applyFill="1" applyBorder="1" applyAlignment="1">
      <alignment horizontal="center" vertical="center"/>
    </xf>
    <xf numFmtId="0" fontId="6" fillId="7" borderId="11" xfId="0" applyFont="1" applyFill="1" applyBorder="1" applyAlignment="1">
      <alignment wrapText="1"/>
    </xf>
    <xf numFmtId="0" fontId="10" fillId="7" borderId="9" xfId="0" applyFont="1" applyFill="1" applyBorder="1" applyAlignment="1">
      <alignment horizontal="center" vertical="center"/>
    </xf>
    <xf numFmtId="0" fontId="10" fillId="7" borderId="10" xfId="0" applyFont="1" applyFill="1" applyBorder="1" applyAlignment="1">
      <alignment horizontal="center" vertical="center"/>
    </xf>
    <xf numFmtId="0" fontId="10" fillId="7" borderId="11" xfId="0" applyFont="1" applyFill="1" applyBorder="1" applyAlignment="1">
      <alignment horizontal="center" vertical="center"/>
    </xf>
    <xf numFmtId="0" fontId="6" fillId="6" borderId="11" xfId="0" applyFont="1" applyFill="1" applyBorder="1" applyAlignment="1">
      <alignment wrapText="1"/>
    </xf>
    <xf numFmtId="0" fontId="5" fillId="5" borderId="1" xfId="0" applyFont="1" applyFill="1" applyBorder="1" applyAlignment="1">
      <alignment vertical="center" wrapText="1"/>
    </xf>
    <xf numFmtId="0" fontId="5" fillId="5" borderId="7" xfId="0" applyFont="1" applyFill="1" applyBorder="1" applyAlignment="1">
      <alignment vertical="center" wrapText="1"/>
    </xf>
    <xf numFmtId="0" fontId="5" fillId="5" borderId="2" xfId="0" applyFont="1" applyFill="1" applyBorder="1" applyAlignment="1">
      <alignment vertical="center" wrapText="1"/>
    </xf>
    <xf numFmtId="0" fontId="5" fillId="5" borderId="3" xfId="0" applyFont="1" applyFill="1" applyBorder="1" applyAlignment="1">
      <alignment vertical="center" wrapText="1"/>
    </xf>
    <xf numFmtId="0" fontId="5" fillId="5" borderId="0" xfId="0" applyFont="1" applyFill="1" applyAlignment="1">
      <alignment vertical="center" wrapText="1"/>
    </xf>
    <xf numFmtId="0" fontId="5" fillId="5" borderId="4" xfId="0" applyFont="1" applyFill="1" applyBorder="1" applyAlignment="1">
      <alignment vertical="center" wrapText="1"/>
    </xf>
    <xf numFmtId="0" fontId="5" fillId="5" borderId="5" xfId="0" applyFont="1" applyFill="1" applyBorder="1" applyAlignment="1">
      <alignment vertical="center" wrapText="1"/>
    </xf>
    <xf numFmtId="0" fontId="5" fillId="5" borderId="8" xfId="0" applyFont="1" applyFill="1" applyBorder="1" applyAlignment="1">
      <alignment vertical="center" wrapText="1"/>
    </xf>
    <xf numFmtId="0" fontId="5" fillId="5" borderId="6" xfId="0" applyFont="1" applyFill="1" applyBorder="1" applyAlignment="1">
      <alignment vertical="center" wrapText="1"/>
    </xf>
    <xf numFmtId="0" fontId="3" fillId="2" borderId="0" xfId="0" applyFont="1" applyFill="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lignment horizont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11" fillId="2" borderId="0" xfId="0" applyFont="1" applyFill="1" applyAlignment="1">
      <alignment horizontal="center" vertical="center"/>
    </xf>
    <xf numFmtId="0" fontId="2" fillId="3" borderId="0" xfId="0" applyFont="1" applyFill="1" applyAlignment="1">
      <alignment horizontal="center"/>
    </xf>
    <xf numFmtId="0" fontId="8" fillId="0" borderId="10" xfId="0" applyFont="1" applyFill="1" applyBorder="1" applyAlignment="1">
      <alignment horizontal="center" vertical="center"/>
    </xf>
    <xf numFmtId="0" fontId="0" fillId="0" borderId="10" xfId="0" applyFont="1" applyFill="1" applyBorder="1" applyAlignment="1">
      <alignment horizontal="center" vertical="center"/>
    </xf>
    <xf numFmtId="0" fontId="8" fillId="6"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144780</xdr:colOff>
      <xdr:row>28</xdr:row>
      <xdr:rowOff>38100</xdr:rowOff>
    </xdr:from>
    <xdr:to>
      <xdr:col>2</xdr:col>
      <xdr:colOff>309372</xdr:colOff>
      <xdr:row>28</xdr:row>
      <xdr:rowOff>138684</xdr:rowOff>
    </xdr:to>
    <xdr:sp macro="" textlink="">
      <xdr:nvSpPr>
        <xdr:cNvPr id="2" name="Rounded Rectangle 108">
          <a:extLst>
            <a:ext uri="{FF2B5EF4-FFF2-40B4-BE49-F238E27FC236}">
              <a16:creationId xmlns:a16="http://schemas.microsoft.com/office/drawing/2014/main" id="{359C0D97-5778-BAE8-C0D2-2C05384FF441}"/>
            </a:ext>
          </a:extLst>
        </xdr:cNvPr>
        <xdr:cNvSpPr/>
      </xdr:nvSpPr>
      <xdr:spPr>
        <a:xfrm>
          <a:off x="2735580" y="5318760"/>
          <a:ext cx="164592" cy="100584"/>
        </a:xfrm>
        <a:prstGeom prst="roundRect">
          <a:avLst/>
        </a:prstGeom>
        <a:solidFill>
          <a:srgbClr val="2563EB"/>
        </a:solidFill>
        <a:ln>
          <a:solidFill>
            <a:srgbClr val="2563EB"/>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clientData/>
  </xdr:twoCellAnchor>
  <xdr:twoCellAnchor>
    <xdr:from>
      <xdr:col>2</xdr:col>
      <xdr:colOff>1059180</xdr:colOff>
      <xdr:row>28</xdr:row>
      <xdr:rowOff>45720</xdr:rowOff>
    </xdr:from>
    <xdr:to>
      <xdr:col>2</xdr:col>
      <xdr:colOff>1223772</xdr:colOff>
      <xdr:row>28</xdr:row>
      <xdr:rowOff>146304</xdr:rowOff>
    </xdr:to>
    <xdr:sp macro="" textlink="">
      <xdr:nvSpPr>
        <xdr:cNvPr id="3" name="Rounded Rectangle 110">
          <a:extLst>
            <a:ext uri="{FF2B5EF4-FFF2-40B4-BE49-F238E27FC236}">
              <a16:creationId xmlns:a16="http://schemas.microsoft.com/office/drawing/2014/main" id="{4080A128-1919-19E4-D63F-B7E0DC4C7AE8}"/>
            </a:ext>
          </a:extLst>
        </xdr:cNvPr>
        <xdr:cNvSpPr/>
      </xdr:nvSpPr>
      <xdr:spPr>
        <a:xfrm>
          <a:off x="3649980" y="5326380"/>
          <a:ext cx="164592" cy="100584"/>
        </a:xfrm>
        <a:prstGeom prst="roundRect">
          <a:avLst/>
        </a:prstGeom>
        <a:solidFill>
          <a:srgbClr val="0F766E"/>
        </a:solidFill>
        <a:ln>
          <a:solidFill>
            <a:srgbClr val="0F766E"/>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clientData/>
  </xdr:twoCellAnchor>
  <xdr:twoCellAnchor>
    <xdr:from>
      <xdr:col>2</xdr:col>
      <xdr:colOff>2118360</xdr:colOff>
      <xdr:row>28</xdr:row>
      <xdr:rowOff>53340</xdr:rowOff>
    </xdr:from>
    <xdr:to>
      <xdr:col>2</xdr:col>
      <xdr:colOff>2282952</xdr:colOff>
      <xdr:row>28</xdr:row>
      <xdr:rowOff>153924</xdr:rowOff>
    </xdr:to>
    <xdr:sp macro="" textlink="">
      <xdr:nvSpPr>
        <xdr:cNvPr id="4" name="Rounded Rectangle 112">
          <a:extLst>
            <a:ext uri="{FF2B5EF4-FFF2-40B4-BE49-F238E27FC236}">
              <a16:creationId xmlns:a16="http://schemas.microsoft.com/office/drawing/2014/main" id="{21E1E455-7D0A-F748-9405-903DC3C6E572}"/>
            </a:ext>
          </a:extLst>
        </xdr:cNvPr>
        <xdr:cNvSpPr/>
      </xdr:nvSpPr>
      <xdr:spPr>
        <a:xfrm>
          <a:off x="4709160" y="5334000"/>
          <a:ext cx="164592" cy="100584"/>
        </a:xfrm>
        <a:prstGeom prst="roundRect">
          <a:avLst/>
        </a:prstGeom>
        <a:solidFill>
          <a:srgbClr val="7C3AED"/>
        </a:solidFill>
        <a:ln>
          <a:solidFill>
            <a:srgbClr val="7C3AED"/>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clientData/>
  </xdr:twoCellAnchor>
  <xdr:twoCellAnchor>
    <xdr:from>
      <xdr:col>2</xdr:col>
      <xdr:colOff>137160</xdr:colOff>
      <xdr:row>29</xdr:row>
      <xdr:rowOff>68580</xdr:rowOff>
    </xdr:from>
    <xdr:to>
      <xdr:col>2</xdr:col>
      <xdr:colOff>301752</xdr:colOff>
      <xdr:row>29</xdr:row>
      <xdr:rowOff>169164</xdr:rowOff>
    </xdr:to>
    <xdr:sp macro="" textlink="">
      <xdr:nvSpPr>
        <xdr:cNvPr id="5" name="Rounded Rectangle 114">
          <a:extLst>
            <a:ext uri="{FF2B5EF4-FFF2-40B4-BE49-F238E27FC236}">
              <a16:creationId xmlns:a16="http://schemas.microsoft.com/office/drawing/2014/main" id="{6B8199F9-2CEC-B776-E334-7132F7ECD267}"/>
            </a:ext>
          </a:extLst>
        </xdr:cNvPr>
        <xdr:cNvSpPr/>
      </xdr:nvSpPr>
      <xdr:spPr>
        <a:xfrm>
          <a:off x="2727960" y="5524500"/>
          <a:ext cx="164592" cy="100584"/>
        </a:xfrm>
        <a:prstGeom prst="roundRect">
          <a:avLst/>
        </a:prstGeom>
        <a:solidFill>
          <a:srgbClr val="B45309"/>
        </a:solidFill>
        <a:ln>
          <a:solidFill>
            <a:srgbClr val="B45309"/>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clientData/>
  </xdr:twoCellAnchor>
  <xdr:twoCellAnchor>
    <xdr:from>
      <xdr:col>2</xdr:col>
      <xdr:colOff>1226820</xdr:colOff>
      <xdr:row>29</xdr:row>
      <xdr:rowOff>53340</xdr:rowOff>
    </xdr:from>
    <xdr:to>
      <xdr:col>2</xdr:col>
      <xdr:colOff>1336548</xdr:colOff>
      <xdr:row>29</xdr:row>
      <xdr:rowOff>163068</xdr:rowOff>
    </xdr:to>
    <xdr:sp macro="" textlink="">
      <xdr:nvSpPr>
        <xdr:cNvPr id="6" name="Diamond 116">
          <a:extLst>
            <a:ext uri="{FF2B5EF4-FFF2-40B4-BE49-F238E27FC236}">
              <a16:creationId xmlns:a16="http://schemas.microsoft.com/office/drawing/2014/main" id="{E846F718-B55E-FBE4-B9D1-C69CFF402213}"/>
            </a:ext>
          </a:extLst>
        </xdr:cNvPr>
        <xdr:cNvSpPr/>
      </xdr:nvSpPr>
      <xdr:spPr>
        <a:xfrm>
          <a:off x="3817620" y="5509260"/>
          <a:ext cx="109728" cy="109728"/>
        </a:xfrm>
        <a:prstGeom prst="diamond">
          <a:avLst/>
        </a:prstGeom>
        <a:solidFill>
          <a:srgbClr val="C2410C"/>
        </a:solidFill>
        <a:ln>
          <a:solidFill>
            <a:srgbClr val="C2410C"/>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workbookViewId="0">
      <selection activeCell="A3" sqref="A3:H3"/>
    </sheetView>
  </sheetViews>
  <sheetFormatPr baseColWidth="10" defaultColWidth="8.796875" defaultRowHeight="13.8"/>
  <cols>
    <col min="1" max="1" width="25" customWidth="1"/>
    <col min="2" max="2" width="17" customWidth="1"/>
    <col min="3" max="3" width="16" customWidth="1"/>
    <col min="4" max="5" width="24" customWidth="1"/>
    <col min="6" max="6" width="12" customWidth="1"/>
    <col min="7" max="7" width="30" customWidth="1"/>
    <col min="8" max="8" width="18" customWidth="1"/>
  </cols>
  <sheetData>
    <row r="1" spans="1:8">
      <c r="A1" s="73" t="s">
        <v>0</v>
      </c>
      <c r="B1" s="73"/>
      <c r="C1" s="73"/>
      <c r="D1" s="73"/>
      <c r="E1" s="73"/>
      <c r="F1" s="73"/>
      <c r="G1" s="73"/>
      <c r="H1" s="73"/>
    </row>
    <row r="2" spans="1:8">
      <c r="A2" s="73"/>
      <c r="B2" s="73"/>
      <c r="C2" s="73"/>
      <c r="D2" s="73"/>
      <c r="E2" s="73"/>
      <c r="F2" s="73"/>
      <c r="G2" s="73"/>
      <c r="H2" s="73"/>
    </row>
    <row r="3" spans="1:8">
      <c r="A3" s="74" t="s">
        <v>141</v>
      </c>
      <c r="B3" s="74"/>
      <c r="C3" s="74"/>
      <c r="D3" s="74"/>
      <c r="E3" s="74"/>
      <c r="F3" s="74"/>
      <c r="G3" s="74"/>
      <c r="H3" s="74"/>
    </row>
    <row r="4" spans="1:8">
      <c r="A4" s="2"/>
      <c r="B4" s="2"/>
      <c r="C4" s="2"/>
      <c r="D4" s="2"/>
      <c r="E4" s="2"/>
      <c r="F4" s="2"/>
      <c r="G4" s="2"/>
      <c r="H4" s="2"/>
    </row>
    <row r="5" spans="1:8">
      <c r="A5" s="1" t="s">
        <v>1</v>
      </c>
      <c r="B5" s="1" t="s">
        <v>2</v>
      </c>
      <c r="C5" s="2"/>
      <c r="D5" s="1" t="s">
        <v>3</v>
      </c>
      <c r="E5" s="1" t="s">
        <v>2</v>
      </c>
      <c r="F5" s="2"/>
      <c r="G5" s="72" t="s">
        <v>4</v>
      </c>
      <c r="H5" s="72"/>
    </row>
    <row r="6" spans="1:8">
      <c r="A6" s="3" t="s">
        <v>5</v>
      </c>
      <c r="B6" s="4">
        <v>70</v>
      </c>
      <c r="C6" s="2"/>
      <c r="D6" s="3" t="s">
        <v>6</v>
      </c>
      <c r="E6" s="5" t="s">
        <v>7</v>
      </c>
      <c r="F6" s="2"/>
      <c r="G6" s="75" t="s">
        <v>8</v>
      </c>
      <c r="H6" s="76"/>
    </row>
    <row r="7" spans="1:8">
      <c r="A7" s="6" t="s">
        <v>9</v>
      </c>
      <c r="B7" s="7">
        <v>46193</v>
      </c>
      <c r="C7" s="2"/>
      <c r="D7" s="6" t="s">
        <v>10</v>
      </c>
      <c r="E7" s="8" t="s">
        <v>11</v>
      </c>
      <c r="F7" s="2"/>
      <c r="G7" s="77"/>
      <c r="H7" s="78"/>
    </row>
    <row r="8" spans="1:8">
      <c r="A8" s="6" t="s">
        <v>12</v>
      </c>
      <c r="B8" s="7">
        <v>46223</v>
      </c>
      <c r="C8" s="2"/>
      <c r="D8" s="6" t="s">
        <v>13</v>
      </c>
      <c r="E8" s="8">
        <v>5</v>
      </c>
      <c r="F8" s="2"/>
      <c r="G8" s="77"/>
      <c r="H8" s="78"/>
    </row>
    <row r="9" spans="1:8">
      <c r="A9" s="6" t="s">
        <v>14</v>
      </c>
      <c r="B9" s="7">
        <v>46231</v>
      </c>
      <c r="C9" s="2"/>
      <c r="D9" s="6" t="s">
        <v>15</v>
      </c>
      <c r="E9" s="8">
        <v>15</v>
      </c>
      <c r="F9" s="2"/>
      <c r="G9" s="77"/>
      <c r="H9" s="78"/>
    </row>
    <row r="10" spans="1:8">
      <c r="A10" s="9" t="s">
        <v>16</v>
      </c>
      <c r="B10" s="10">
        <v>46235</v>
      </c>
      <c r="C10" s="2"/>
      <c r="D10" s="9" t="s">
        <v>17</v>
      </c>
      <c r="E10" s="11">
        <v>7</v>
      </c>
      <c r="F10" s="2"/>
      <c r="G10" s="79"/>
      <c r="H10" s="80"/>
    </row>
    <row r="11" spans="1:8">
      <c r="A11" s="2"/>
      <c r="B11" s="2"/>
      <c r="C11" s="2"/>
      <c r="D11" s="2"/>
      <c r="E11" s="2"/>
      <c r="F11" s="2"/>
      <c r="G11" s="2"/>
      <c r="H11" s="2"/>
    </row>
    <row r="12" spans="1:8">
      <c r="A12" s="72" t="s">
        <v>18</v>
      </c>
      <c r="B12" s="72"/>
      <c r="C12" s="72"/>
      <c r="D12" s="72"/>
      <c r="E12" s="72"/>
      <c r="F12" s="72"/>
      <c r="G12" s="72"/>
      <c r="H12" s="72"/>
    </row>
    <row r="13" spans="1:8">
      <c r="A13" s="63" t="s">
        <v>19</v>
      </c>
      <c r="B13" s="64"/>
      <c r="C13" s="64"/>
      <c r="D13" s="64"/>
      <c r="E13" s="64"/>
      <c r="F13" s="64"/>
      <c r="G13" s="64"/>
      <c r="H13" s="65"/>
    </row>
    <row r="14" spans="1:8">
      <c r="A14" s="66"/>
      <c r="B14" s="67"/>
      <c r="C14" s="67"/>
      <c r="D14" s="67"/>
      <c r="E14" s="67"/>
      <c r="F14" s="67"/>
      <c r="G14" s="67"/>
      <c r="H14" s="68"/>
    </row>
    <row r="15" spans="1:8">
      <c r="A15" s="66"/>
      <c r="B15" s="67"/>
      <c r="C15" s="67"/>
      <c r="D15" s="67"/>
      <c r="E15" s="67"/>
      <c r="F15" s="67"/>
      <c r="G15" s="67"/>
      <c r="H15" s="68"/>
    </row>
    <row r="16" spans="1:8">
      <c r="A16" s="69"/>
      <c r="B16" s="70"/>
      <c r="C16" s="70"/>
      <c r="D16" s="70"/>
      <c r="E16" s="70"/>
      <c r="F16" s="70"/>
      <c r="G16" s="70"/>
      <c r="H16" s="71"/>
    </row>
    <row r="17" spans="1:8">
      <c r="A17" s="2"/>
      <c r="B17" s="2"/>
      <c r="C17" s="2"/>
      <c r="D17" s="2"/>
      <c r="E17" s="2"/>
      <c r="F17" s="2"/>
      <c r="G17" s="2"/>
      <c r="H17" s="2"/>
    </row>
    <row r="18" spans="1:8">
      <c r="A18" s="1" t="s">
        <v>20</v>
      </c>
      <c r="B18" s="1" t="s">
        <v>21</v>
      </c>
      <c r="C18" s="1" t="s">
        <v>22</v>
      </c>
      <c r="D18" s="1" t="s">
        <v>23</v>
      </c>
      <c r="E18" s="2"/>
      <c r="F18" s="72" t="s">
        <v>24</v>
      </c>
      <c r="G18" s="72"/>
      <c r="H18" s="72"/>
    </row>
    <row r="19" spans="1:8">
      <c r="A19" s="3" t="s">
        <v>25</v>
      </c>
      <c r="B19" s="12">
        <v>18</v>
      </c>
      <c r="C19" s="13">
        <v>0.25714285714285712</v>
      </c>
      <c r="D19" s="5" t="s">
        <v>26</v>
      </c>
      <c r="E19" s="2"/>
      <c r="F19" s="3" t="s">
        <v>27</v>
      </c>
      <c r="G19" s="12" t="s">
        <v>28</v>
      </c>
      <c r="H19" s="5" t="s">
        <v>29</v>
      </c>
    </row>
    <row r="20" spans="1:8">
      <c r="A20" s="6" t="s">
        <v>30</v>
      </c>
      <c r="B20" s="2">
        <v>7</v>
      </c>
      <c r="C20" s="14">
        <v>0.1</v>
      </c>
      <c r="D20" s="8" t="s">
        <v>31</v>
      </c>
      <c r="E20" s="2"/>
      <c r="F20" s="6" t="s">
        <v>32</v>
      </c>
      <c r="G20" s="2" t="s">
        <v>33</v>
      </c>
      <c r="H20" s="8" t="s">
        <v>34</v>
      </c>
    </row>
    <row r="21" spans="1:8">
      <c r="A21" s="6" t="s">
        <v>35</v>
      </c>
      <c r="B21" s="2">
        <v>29</v>
      </c>
      <c r="C21" s="14">
        <v>0.41428571428571431</v>
      </c>
      <c r="D21" s="8" t="s">
        <v>36</v>
      </c>
      <c r="E21" s="2"/>
      <c r="F21" s="6" t="s">
        <v>37</v>
      </c>
      <c r="G21" s="2" t="s">
        <v>38</v>
      </c>
      <c r="H21" s="8" t="s">
        <v>39</v>
      </c>
    </row>
    <row r="22" spans="1:8">
      <c r="A22" s="9" t="s">
        <v>40</v>
      </c>
      <c r="B22" s="15">
        <v>16</v>
      </c>
      <c r="C22" s="16">
        <v>0.22857142857142856</v>
      </c>
      <c r="D22" s="11" t="s">
        <v>41</v>
      </c>
      <c r="E22" s="2"/>
      <c r="F22" s="6" t="s">
        <v>42</v>
      </c>
      <c r="G22" s="2" t="s">
        <v>43</v>
      </c>
      <c r="H22" s="8" t="s">
        <v>44</v>
      </c>
    </row>
    <row r="23" spans="1:8">
      <c r="A23" s="2"/>
      <c r="B23" s="2"/>
      <c r="C23" s="2"/>
      <c r="D23" s="2"/>
      <c r="E23" s="2"/>
      <c r="F23" s="6" t="s">
        <v>45</v>
      </c>
      <c r="G23" s="2" t="s">
        <v>46</v>
      </c>
      <c r="H23" s="8" t="s">
        <v>47</v>
      </c>
    </row>
    <row r="24" spans="1:8">
      <c r="A24" s="2"/>
      <c r="B24" s="2"/>
      <c r="C24" s="2"/>
      <c r="D24" s="2"/>
      <c r="E24" s="2"/>
      <c r="F24" s="6" t="s">
        <v>48</v>
      </c>
      <c r="G24" s="2" t="s">
        <v>14</v>
      </c>
      <c r="H24" s="8" t="s">
        <v>49</v>
      </c>
    </row>
    <row r="25" spans="1:8">
      <c r="A25" s="2"/>
      <c r="B25" s="2"/>
      <c r="C25" s="2"/>
      <c r="D25" s="2"/>
      <c r="E25" s="2"/>
      <c r="F25" s="9" t="s">
        <v>50</v>
      </c>
      <c r="G25" s="15" t="s">
        <v>51</v>
      </c>
      <c r="H25" s="11" t="s">
        <v>52</v>
      </c>
    </row>
  </sheetData>
  <mergeCells count="7">
    <mergeCell ref="A13:H16"/>
    <mergeCell ref="F18:H18"/>
    <mergeCell ref="A1:H2"/>
    <mergeCell ref="A3:H3"/>
    <mergeCell ref="G5:H5"/>
    <mergeCell ref="G6:H10"/>
    <mergeCell ref="A12:H12"/>
  </mergeCell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
  <sheetViews>
    <sheetView workbookViewId="0"/>
  </sheetViews>
  <sheetFormatPr baseColWidth="10" defaultColWidth="8.796875" defaultRowHeight="13.8"/>
  <cols>
    <col min="1" max="1" width="8" customWidth="1"/>
    <col min="2" max="2" width="10" customWidth="1"/>
    <col min="3" max="3" width="27" customWidth="1"/>
    <col min="4" max="4" width="44" customWidth="1"/>
    <col min="5" max="5" width="34" customWidth="1"/>
    <col min="6" max="6" width="10" customWidth="1"/>
    <col min="7" max="9" width="13" customWidth="1"/>
    <col min="10" max="10" width="17" customWidth="1"/>
    <col min="11" max="11" width="14" customWidth="1"/>
  </cols>
  <sheetData>
    <row r="1" spans="1:11" ht="27.6">
      <c r="A1" s="1" t="s">
        <v>53</v>
      </c>
      <c r="B1" s="1" t="s">
        <v>54</v>
      </c>
      <c r="C1" s="1" t="s">
        <v>20</v>
      </c>
      <c r="D1" s="1" t="s">
        <v>55</v>
      </c>
      <c r="E1" s="1" t="s">
        <v>56</v>
      </c>
      <c r="F1" s="1" t="s">
        <v>57</v>
      </c>
      <c r="G1" s="1" t="s">
        <v>58</v>
      </c>
      <c r="H1" s="1" t="s">
        <v>59</v>
      </c>
      <c r="I1" s="1" t="s">
        <v>60</v>
      </c>
      <c r="J1" s="1" t="s">
        <v>61</v>
      </c>
      <c r="K1" s="1" t="s">
        <v>62</v>
      </c>
    </row>
    <row r="2" spans="1:11">
      <c r="A2" s="22" t="s">
        <v>63</v>
      </c>
      <c r="B2" s="18" t="s">
        <v>64</v>
      </c>
      <c r="C2" s="18" t="s">
        <v>25</v>
      </c>
      <c r="D2" s="18" t="s">
        <v>65</v>
      </c>
      <c r="E2" s="18" t="s">
        <v>66</v>
      </c>
      <c r="F2" s="19">
        <v>5</v>
      </c>
      <c r="G2" s="20">
        <v>46193</v>
      </c>
      <c r="H2" s="20">
        <v>46194</v>
      </c>
      <c r="I2" s="18" t="s">
        <v>67</v>
      </c>
      <c r="J2" s="18" t="s">
        <v>68</v>
      </c>
      <c r="K2" s="21">
        <f t="shared" ref="K2:K23" si="0">H2-G2+1</f>
        <v>2</v>
      </c>
    </row>
    <row r="3" spans="1:11">
      <c r="A3" s="22" t="s">
        <v>69</v>
      </c>
      <c r="B3" s="18" t="s">
        <v>64</v>
      </c>
      <c r="C3" s="18" t="s">
        <v>25</v>
      </c>
      <c r="D3" s="18" t="s">
        <v>70</v>
      </c>
      <c r="E3" s="18" t="s">
        <v>71</v>
      </c>
      <c r="F3" s="19">
        <v>6</v>
      </c>
      <c r="G3" s="20">
        <v>46195</v>
      </c>
      <c r="H3" s="20">
        <v>46197</v>
      </c>
      <c r="I3" s="18" t="s">
        <v>67</v>
      </c>
      <c r="J3" s="18" t="s">
        <v>63</v>
      </c>
      <c r="K3" s="21">
        <f t="shared" si="0"/>
        <v>3</v>
      </c>
    </row>
    <row r="4" spans="1:11">
      <c r="A4" s="22" t="s">
        <v>72</v>
      </c>
      <c r="B4" s="18" t="s">
        <v>64</v>
      </c>
      <c r="C4" s="18" t="s">
        <v>25</v>
      </c>
      <c r="D4" s="18" t="s">
        <v>73</v>
      </c>
      <c r="E4" s="18" t="s">
        <v>74</v>
      </c>
      <c r="F4" s="19">
        <v>4</v>
      </c>
      <c r="G4" s="20">
        <v>46198</v>
      </c>
      <c r="H4" s="20">
        <v>46198</v>
      </c>
      <c r="I4" s="18" t="s">
        <v>67</v>
      </c>
      <c r="J4" s="18" t="s">
        <v>63</v>
      </c>
      <c r="K4" s="21">
        <f t="shared" si="0"/>
        <v>1</v>
      </c>
    </row>
    <row r="5" spans="1:11">
      <c r="A5" s="28" t="s">
        <v>27</v>
      </c>
      <c r="B5" s="24" t="s">
        <v>75</v>
      </c>
      <c r="C5" s="24" t="s">
        <v>25</v>
      </c>
      <c r="D5" s="24" t="s">
        <v>76</v>
      </c>
      <c r="E5" s="24" t="s">
        <v>77</v>
      </c>
      <c r="F5" s="25">
        <v>0</v>
      </c>
      <c r="G5" s="26">
        <v>46199</v>
      </c>
      <c r="H5" s="26">
        <v>46199</v>
      </c>
      <c r="I5" s="24" t="s">
        <v>75</v>
      </c>
      <c r="J5" s="24" t="s">
        <v>72</v>
      </c>
      <c r="K5" s="27">
        <f t="shared" si="0"/>
        <v>1</v>
      </c>
    </row>
    <row r="6" spans="1:11">
      <c r="A6" s="22" t="s">
        <v>78</v>
      </c>
      <c r="B6" s="18" t="s">
        <v>64</v>
      </c>
      <c r="C6" s="18" t="s">
        <v>25</v>
      </c>
      <c r="D6" s="18" t="s">
        <v>79</v>
      </c>
      <c r="E6" s="18" t="s">
        <v>80</v>
      </c>
      <c r="F6" s="19">
        <v>3</v>
      </c>
      <c r="G6" s="20">
        <v>46199</v>
      </c>
      <c r="H6" s="20">
        <v>46199</v>
      </c>
      <c r="I6" s="18" t="s">
        <v>67</v>
      </c>
      <c r="J6" s="18" t="s">
        <v>81</v>
      </c>
      <c r="K6" s="21">
        <f t="shared" si="0"/>
        <v>1</v>
      </c>
    </row>
    <row r="7" spans="1:11">
      <c r="A7" s="28" t="s">
        <v>32</v>
      </c>
      <c r="B7" s="24" t="s">
        <v>75</v>
      </c>
      <c r="C7" s="24" t="s">
        <v>25</v>
      </c>
      <c r="D7" s="24" t="s">
        <v>82</v>
      </c>
      <c r="E7" s="24" t="s">
        <v>83</v>
      </c>
      <c r="F7" s="25">
        <v>0</v>
      </c>
      <c r="G7" s="26">
        <v>46200</v>
      </c>
      <c r="H7" s="26">
        <v>46200</v>
      </c>
      <c r="I7" s="24" t="s">
        <v>75</v>
      </c>
      <c r="J7" s="24" t="s">
        <v>84</v>
      </c>
      <c r="K7" s="27">
        <f t="shared" si="0"/>
        <v>1</v>
      </c>
    </row>
    <row r="8" spans="1:11">
      <c r="A8" s="34" t="s">
        <v>85</v>
      </c>
      <c r="B8" s="30" t="s">
        <v>64</v>
      </c>
      <c r="C8" s="30" t="s">
        <v>30</v>
      </c>
      <c r="D8" s="30" t="s">
        <v>86</v>
      </c>
      <c r="E8" s="30" t="s">
        <v>87</v>
      </c>
      <c r="F8" s="31">
        <v>7</v>
      </c>
      <c r="G8" s="32">
        <v>46201</v>
      </c>
      <c r="H8" s="32">
        <v>46205</v>
      </c>
      <c r="I8" s="30" t="s">
        <v>67</v>
      </c>
      <c r="J8" s="30" t="s">
        <v>32</v>
      </c>
      <c r="K8" s="33">
        <f t="shared" si="0"/>
        <v>5</v>
      </c>
    </row>
    <row r="9" spans="1:11">
      <c r="A9" s="28" t="s">
        <v>37</v>
      </c>
      <c r="B9" s="24" t="s">
        <v>75</v>
      </c>
      <c r="C9" s="24" t="s">
        <v>30</v>
      </c>
      <c r="D9" s="24" t="s">
        <v>88</v>
      </c>
      <c r="E9" s="24" t="s">
        <v>89</v>
      </c>
      <c r="F9" s="25">
        <v>0</v>
      </c>
      <c r="G9" s="26">
        <v>46206</v>
      </c>
      <c r="H9" s="26">
        <v>46206</v>
      </c>
      <c r="I9" s="24" t="s">
        <v>75</v>
      </c>
      <c r="J9" s="24" t="s">
        <v>85</v>
      </c>
      <c r="K9" s="27">
        <f t="shared" si="0"/>
        <v>1</v>
      </c>
    </row>
    <row r="10" spans="1:11">
      <c r="A10" s="40" t="s">
        <v>90</v>
      </c>
      <c r="B10" s="36" t="s">
        <v>64</v>
      </c>
      <c r="C10" s="36" t="s">
        <v>35</v>
      </c>
      <c r="D10" s="36" t="s">
        <v>91</v>
      </c>
      <c r="E10" s="36" t="s">
        <v>92</v>
      </c>
      <c r="F10" s="37">
        <v>8</v>
      </c>
      <c r="G10" s="38">
        <v>46207</v>
      </c>
      <c r="H10" s="38">
        <v>46210</v>
      </c>
      <c r="I10" s="36" t="s">
        <v>67</v>
      </c>
      <c r="J10" s="36" t="s">
        <v>37</v>
      </c>
      <c r="K10" s="39">
        <f t="shared" si="0"/>
        <v>4</v>
      </c>
    </row>
    <row r="11" spans="1:11">
      <c r="A11" s="40" t="s">
        <v>93</v>
      </c>
      <c r="B11" s="36" t="s">
        <v>64</v>
      </c>
      <c r="C11" s="36" t="s">
        <v>35</v>
      </c>
      <c r="D11" s="36" t="s">
        <v>94</v>
      </c>
      <c r="E11" s="36" t="s">
        <v>92</v>
      </c>
      <c r="F11" s="37">
        <v>7</v>
      </c>
      <c r="G11" s="38">
        <v>46211</v>
      </c>
      <c r="H11" s="38">
        <v>46213</v>
      </c>
      <c r="I11" s="36" t="s">
        <v>67</v>
      </c>
      <c r="J11" s="36" t="s">
        <v>37</v>
      </c>
      <c r="K11" s="39">
        <f t="shared" si="0"/>
        <v>3</v>
      </c>
    </row>
    <row r="12" spans="1:11">
      <c r="A12" s="40" t="s">
        <v>95</v>
      </c>
      <c r="B12" s="36" t="s">
        <v>64</v>
      </c>
      <c r="C12" s="36" t="s">
        <v>35</v>
      </c>
      <c r="D12" s="36" t="s">
        <v>96</v>
      </c>
      <c r="E12" s="36" t="s">
        <v>97</v>
      </c>
      <c r="F12" s="37">
        <v>5</v>
      </c>
      <c r="G12" s="38">
        <v>46214</v>
      </c>
      <c r="H12" s="38">
        <v>46216</v>
      </c>
      <c r="I12" s="36" t="s">
        <v>67</v>
      </c>
      <c r="J12" s="36" t="s">
        <v>98</v>
      </c>
      <c r="K12" s="39">
        <f t="shared" si="0"/>
        <v>3</v>
      </c>
    </row>
    <row r="13" spans="1:11">
      <c r="A13" s="40" t="s">
        <v>99</v>
      </c>
      <c r="B13" s="36" t="s">
        <v>64</v>
      </c>
      <c r="C13" s="36" t="s">
        <v>35</v>
      </c>
      <c r="D13" s="36" t="s">
        <v>100</v>
      </c>
      <c r="E13" s="36" t="s">
        <v>101</v>
      </c>
      <c r="F13" s="37">
        <v>4</v>
      </c>
      <c r="G13" s="38">
        <v>46217</v>
      </c>
      <c r="H13" s="38">
        <v>46217</v>
      </c>
      <c r="I13" s="36" t="s">
        <v>67</v>
      </c>
      <c r="J13" s="36" t="s">
        <v>95</v>
      </c>
      <c r="K13" s="39">
        <f t="shared" si="0"/>
        <v>1</v>
      </c>
    </row>
    <row r="14" spans="1:11">
      <c r="A14" s="40" t="s">
        <v>102</v>
      </c>
      <c r="B14" s="36" t="s">
        <v>64</v>
      </c>
      <c r="C14" s="36" t="s">
        <v>35</v>
      </c>
      <c r="D14" s="36" t="s">
        <v>103</v>
      </c>
      <c r="E14" s="36" t="s">
        <v>104</v>
      </c>
      <c r="F14" s="37">
        <v>5</v>
      </c>
      <c r="G14" s="38">
        <v>46218</v>
      </c>
      <c r="H14" s="38">
        <v>46218</v>
      </c>
      <c r="I14" s="36" t="s">
        <v>67</v>
      </c>
      <c r="J14" s="36" t="s">
        <v>105</v>
      </c>
      <c r="K14" s="39">
        <f t="shared" si="0"/>
        <v>1</v>
      </c>
    </row>
    <row r="15" spans="1:11">
      <c r="A15" s="28" t="s">
        <v>106</v>
      </c>
      <c r="B15" s="42" t="s">
        <v>64</v>
      </c>
      <c r="C15" s="42" t="s">
        <v>40</v>
      </c>
      <c r="D15" s="42" t="s">
        <v>107</v>
      </c>
      <c r="E15" s="42" t="s">
        <v>108</v>
      </c>
      <c r="F15" s="43">
        <v>7</v>
      </c>
      <c r="G15" s="44">
        <v>46219</v>
      </c>
      <c r="H15" s="44">
        <v>46220</v>
      </c>
      <c r="I15" s="42" t="s">
        <v>67</v>
      </c>
      <c r="J15" s="42" t="s">
        <v>109</v>
      </c>
      <c r="K15" s="45">
        <f t="shared" si="0"/>
        <v>2</v>
      </c>
    </row>
    <row r="16" spans="1:11">
      <c r="A16" s="28" t="s">
        <v>110</v>
      </c>
      <c r="B16" s="42" t="s">
        <v>64</v>
      </c>
      <c r="C16" s="42" t="s">
        <v>40</v>
      </c>
      <c r="D16" s="42" t="s">
        <v>111</v>
      </c>
      <c r="E16" s="42" t="s">
        <v>112</v>
      </c>
      <c r="F16" s="43">
        <v>4</v>
      </c>
      <c r="G16" s="44">
        <v>46221</v>
      </c>
      <c r="H16" s="44">
        <v>46221</v>
      </c>
      <c r="I16" s="42" t="s">
        <v>67</v>
      </c>
      <c r="J16" s="42" t="s">
        <v>106</v>
      </c>
      <c r="K16" s="45">
        <f t="shared" si="0"/>
        <v>1</v>
      </c>
    </row>
    <row r="17" spans="1:11">
      <c r="A17" s="28" t="s">
        <v>113</v>
      </c>
      <c r="B17" s="42" t="s">
        <v>64</v>
      </c>
      <c r="C17" s="42" t="s">
        <v>40</v>
      </c>
      <c r="D17" s="42" t="s">
        <v>114</v>
      </c>
      <c r="E17" s="42" t="s">
        <v>115</v>
      </c>
      <c r="F17" s="43">
        <v>2</v>
      </c>
      <c r="G17" s="44">
        <v>46222</v>
      </c>
      <c r="H17" s="44">
        <v>46222</v>
      </c>
      <c r="I17" s="42" t="s">
        <v>67</v>
      </c>
      <c r="J17" s="42" t="s">
        <v>110</v>
      </c>
      <c r="K17" s="45">
        <f t="shared" si="0"/>
        <v>1</v>
      </c>
    </row>
    <row r="18" spans="1:11">
      <c r="A18" s="28" t="s">
        <v>116</v>
      </c>
      <c r="B18" s="42" t="s">
        <v>64</v>
      </c>
      <c r="C18" s="42" t="s">
        <v>40</v>
      </c>
      <c r="D18" s="42" t="s">
        <v>117</v>
      </c>
      <c r="E18" s="42" t="s">
        <v>118</v>
      </c>
      <c r="F18" s="43">
        <v>2</v>
      </c>
      <c r="G18" s="44">
        <v>46223</v>
      </c>
      <c r="H18" s="44">
        <v>46223</v>
      </c>
      <c r="I18" s="42" t="s">
        <v>67</v>
      </c>
      <c r="J18" s="42" t="s">
        <v>113</v>
      </c>
      <c r="K18" s="45">
        <f t="shared" si="0"/>
        <v>1</v>
      </c>
    </row>
    <row r="19" spans="1:11">
      <c r="A19" s="28" t="s">
        <v>119</v>
      </c>
      <c r="B19" s="42" t="s">
        <v>64</v>
      </c>
      <c r="C19" s="42" t="s">
        <v>40</v>
      </c>
      <c r="D19" s="42" t="s">
        <v>120</v>
      </c>
      <c r="E19" s="42" t="s">
        <v>121</v>
      </c>
      <c r="F19" s="43">
        <v>1</v>
      </c>
      <c r="G19" s="44">
        <v>46223</v>
      </c>
      <c r="H19" s="44">
        <v>46223</v>
      </c>
      <c r="I19" s="42" t="s">
        <v>67</v>
      </c>
      <c r="J19" s="42" t="s">
        <v>116</v>
      </c>
      <c r="K19" s="45">
        <f t="shared" si="0"/>
        <v>1</v>
      </c>
    </row>
    <row r="20" spans="1:11">
      <c r="A20" s="28" t="s">
        <v>42</v>
      </c>
      <c r="B20" s="24" t="s">
        <v>75</v>
      </c>
      <c r="C20" s="24" t="s">
        <v>122</v>
      </c>
      <c r="D20" s="24" t="s">
        <v>123</v>
      </c>
      <c r="E20" s="24" t="s">
        <v>124</v>
      </c>
      <c r="F20" s="25">
        <v>0</v>
      </c>
      <c r="G20" s="26">
        <v>46224</v>
      </c>
      <c r="H20" s="26">
        <v>46224</v>
      </c>
      <c r="I20" s="24" t="s">
        <v>75</v>
      </c>
      <c r="J20" s="24" t="s">
        <v>119</v>
      </c>
      <c r="K20" s="27">
        <f t="shared" si="0"/>
        <v>1</v>
      </c>
    </row>
    <row r="21" spans="1:11">
      <c r="A21" s="28" t="s">
        <v>45</v>
      </c>
      <c r="B21" s="24" t="s">
        <v>75</v>
      </c>
      <c r="C21" s="24" t="s">
        <v>122</v>
      </c>
      <c r="D21" s="24" t="s">
        <v>46</v>
      </c>
      <c r="E21" s="24" t="s">
        <v>125</v>
      </c>
      <c r="F21" s="25">
        <v>0</v>
      </c>
      <c r="G21" s="26">
        <v>46227</v>
      </c>
      <c r="H21" s="26">
        <v>46227</v>
      </c>
      <c r="I21" s="24" t="s">
        <v>75</v>
      </c>
      <c r="J21" s="24" t="s">
        <v>42</v>
      </c>
      <c r="K21" s="27">
        <f t="shared" si="0"/>
        <v>1</v>
      </c>
    </row>
    <row r="22" spans="1:11">
      <c r="A22" s="28" t="s">
        <v>48</v>
      </c>
      <c r="B22" s="24" t="s">
        <v>75</v>
      </c>
      <c r="C22" s="24" t="s">
        <v>122</v>
      </c>
      <c r="D22" s="24" t="s">
        <v>14</v>
      </c>
      <c r="E22" s="24" t="s">
        <v>126</v>
      </c>
      <c r="F22" s="25">
        <v>0</v>
      </c>
      <c r="G22" s="26">
        <v>46231</v>
      </c>
      <c r="H22" s="26">
        <v>46231</v>
      </c>
      <c r="I22" s="24" t="s">
        <v>75</v>
      </c>
      <c r="J22" s="24" t="s">
        <v>45</v>
      </c>
      <c r="K22" s="27">
        <f t="shared" si="0"/>
        <v>1</v>
      </c>
    </row>
    <row r="23" spans="1:11">
      <c r="A23" s="28" t="s">
        <v>50</v>
      </c>
      <c r="B23" s="24" t="s">
        <v>75</v>
      </c>
      <c r="C23" s="24" t="s">
        <v>122</v>
      </c>
      <c r="D23" s="24" t="s">
        <v>127</v>
      </c>
      <c r="E23" s="24" t="s">
        <v>128</v>
      </c>
      <c r="F23" s="25">
        <v>0</v>
      </c>
      <c r="G23" s="26">
        <v>46233</v>
      </c>
      <c r="H23" s="26">
        <v>46233</v>
      </c>
      <c r="I23" s="24" t="s">
        <v>75</v>
      </c>
      <c r="J23" s="24" t="s">
        <v>48</v>
      </c>
      <c r="K23" s="27">
        <f t="shared" si="0"/>
        <v>1</v>
      </c>
    </row>
  </sheetData>
  <dataValidations count="1">
    <dataValidation type="list" sqref="I2:I23" xr:uid="{00000000-0002-0000-0100-000000000000}">
      <formula1>"Planifié,En cours,Terminé,Jalon"</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0"/>
  <sheetViews>
    <sheetView tabSelected="1" topLeftCell="A3" workbookViewId="0">
      <selection activeCell="B33" sqref="B33"/>
    </sheetView>
  </sheetViews>
  <sheetFormatPr baseColWidth="10" defaultColWidth="8.796875" defaultRowHeight="13.8"/>
  <cols>
    <col min="1" max="1" width="7" customWidth="1"/>
    <col min="2" max="2" width="27" customWidth="1"/>
    <col min="3" max="3" width="47" customWidth="1"/>
    <col min="4" max="4" width="7" customWidth="1"/>
    <col min="5" max="7" width="12" customWidth="1"/>
    <col min="8" max="14" width="10" customWidth="1"/>
  </cols>
  <sheetData>
    <row r="1" spans="1:14">
      <c r="A1" s="81" t="s">
        <v>129</v>
      </c>
      <c r="B1" s="81"/>
      <c r="C1" s="81"/>
      <c r="D1" s="81"/>
      <c r="E1" s="81"/>
      <c r="F1" s="81"/>
      <c r="G1" s="81"/>
      <c r="H1" s="81"/>
      <c r="I1" s="81"/>
      <c r="J1" s="81"/>
      <c r="K1" s="81"/>
      <c r="L1" s="81"/>
      <c r="M1" s="81"/>
      <c r="N1" s="81"/>
    </row>
    <row r="2" spans="1:14">
      <c r="A2" s="81"/>
      <c r="B2" s="81"/>
      <c r="C2" s="81"/>
      <c r="D2" s="81"/>
      <c r="E2" s="81"/>
      <c r="F2" s="81"/>
      <c r="G2" s="81"/>
      <c r="H2" s="81"/>
      <c r="I2" s="81"/>
      <c r="J2" s="81"/>
      <c r="K2" s="81"/>
      <c r="L2" s="81"/>
      <c r="M2" s="81"/>
      <c r="N2" s="81"/>
    </row>
    <row r="3" spans="1:14">
      <c r="A3" s="82" t="s">
        <v>130</v>
      </c>
      <c r="B3" s="82"/>
      <c r="C3" s="82"/>
      <c r="D3" s="82"/>
      <c r="E3" s="82"/>
      <c r="F3" s="82"/>
      <c r="G3" s="82"/>
      <c r="H3" s="82"/>
      <c r="I3" s="82"/>
      <c r="J3" s="82"/>
      <c r="K3" s="82"/>
      <c r="L3" s="82"/>
      <c r="M3" s="82"/>
      <c r="N3" s="82"/>
    </row>
    <row r="5" spans="1:14" ht="27.6">
      <c r="A5" s="1" t="s">
        <v>53</v>
      </c>
      <c r="B5" s="1" t="s">
        <v>20</v>
      </c>
      <c r="C5" s="1" t="s">
        <v>55</v>
      </c>
      <c r="D5" s="1" t="s">
        <v>131</v>
      </c>
      <c r="E5" s="1" t="s">
        <v>58</v>
      </c>
      <c r="F5" s="1" t="s">
        <v>59</v>
      </c>
      <c r="G5" s="1" t="s">
        <v>60</v>
      </c>
      <c r="H5" s="1" t="s">
        <v>132</v>
      </c>
      <c r="I5" s="1" t="s">
        <v>133</v>
      </c>
      <c r="J5" s="1" t="s">
        <v>134</v>
      </c>
      <c r="K5" s="1" t="s">
        <v>135</v>
      </c>
      <c r="L5" s="1" t="s">
        <v>136</v>
      </c>
      <c r="M5" s="1" t="s">
        <v>137</v>
      </c>
      <c r="N5" s="1" t="s">
        <v>138</v>
      </c>
    </row>
    <row r="6" spans="1:14">
      <c r="A6" s="17" t="s">
        <v>63</v>
      </c>
      <c r="B6" s="18" t="s">
        <v>25</v>
      </c>
      <c r="C6" s="18" t="s">
        <v>65</v>
      </c>
      <c r="D6" s="19">
        <v>5</v>
      </c>
      <c r="E6" s="20">
        <v>46193</v>
      </c>
      <c r="F6" s="20">
        <v>46194</v>
      </c>
      <c r="G6" s="46" t="s">
        <v>67</v>
      </c>
      <c r="H6" s="47" t="s">
        <v>139</v>
      </c>
      <c r="I6" s="48"/>
      <c r="J6" s="48"/>
      <c r="K6" s="48"/>
      <c r="L6" s="48"/>
      <c r="M6" s="48"/>
      <c r="N6" s="49"/>
    </row>
    <row r="7" spans="1:14">
      <c r="A7" s="17" t="s">
        <v>69</v>
      </c>
      <c r="B7" s="18" t="s">
        <v>25</v>
      </c>
      <c r="C7" s="18" t="s">
        <v>70</v>
      </c>
      <c r="D7" s="19">
        <v>6</v>
      </c>
      <c r="E7" s="20">
        <v>46195</v>
      </c>
      <c r="F7" s="20">
        <v>46197</v>
      </c>
      <c r="G7" s="46" t="s">
        <v>67</v>
      </c>
      <c r="H7" s="47"/>
      <c r="I7" s="48" t="s">
        <v>139</v>
      </c>
      <c r="J7" s="48"/>
      <c r="K7" s="48"/>
      <c r="L7" s="48"/>
      <c r="M7" s="48"/>
      <c r="N7" s="49"/>
    </row>
    <row r="8" spans="1:14">
      <c r="A8" s="17" t="s">
        <v>72</v>
      </c>
      <c r="B8" s="18" t="s">
        <v>25</v>
      </c>
      <c r="C8" s="18" t="s">
        <v>73</v>
      </c>
      <c r="D8" s="19">
        <v>4</v>
      </c>
      <c r="E8" s="20">
        <v>46198</v>
      </c>
      <c r="F8" s="20">
        <v>46198</v>
      </c>
      <c r="G8" s="46" t="s">
        <v>67</v>
      </c>
      <c r="H8" s="47"/>
      <c r="I8" s="48" t="s">
        <v>139</v>
      </c>
      <c r="J8" s="48"/>
      <c r="K8" s="48"/>
      <c r="L8" s="48"/>
      <c r="M8" s="48"/>
      <c r="N8" s="49"/>
    </row>
    <row r="9" spans="1:14">
      <c r="A9" s="23" t="s">
        <v>27</v>
      </c>
      <c r="B9" s="24" t="s">
        <v>25</v>
      </c>
      <c r="C9" s="24" t="s">
        <v>76</v>
      </c>
      <c r="D9" s="25">
        <v>0</v>
      </c>
      <c r="E9" s="26">
        <v>46199</v>
      </c>
      <c r="F9" s="26">
        <v>46199</v>
      </c>
      <c r="G9" s="50" t="s">
        <v>75</v>
      </c>
      <c r="H9" s="51"/>
      <c r="I9" s="52" t="s">
        <v>140</v>
      </c>
      <c r="J9" s="52"/>
      <c r="K9" s="52"/>
      <c r="L9" s="52"/>
      <c r="M9" s="52"/>
      <c r="N9" s="53"/>
    </row>
    <row r="10" spans="1:14">
      <c r="A10" s="17" t="s">
        <v>78</v>
      </c>
      <c r="B10" s="18" t="s">
        <v>25</v>
      </c>
      <c r="C10" s="18" t="s">
        <v>79</v>
      </c>
      <c r="D10" s="19">
        <v>3</v>
      </c>
      <c r="E10" s="20">
        <v>46199</v>
      </c>
      <c r="F10" s="20">
        <v>46199</v>
      </c>
      <c r="G10" s="46" t="s">
        <v>67</v>
      </c>
      <c r="H10" s="47"/>
      <c r="I10" s="48" t="s">
        <v>139</v>
      </c>
      <c r="J10" s="48"/>
      <c r="K10" s="48"/>
      <c r="L10" s="48"/>
      <c r="M10" s="48"/>
      <c r="N10" s="49"/>
    </row>
    <row r="11" spans="1:14">
      <c r="A11" s="23" t="s">
        <v>32</v>
      </c>
      <c r="B11" s="24" t="s">
        <v>25</v>
      </c>
      <c r="C11" s="24" t="s">
        <v>82</v>
      </c>
      <c r="D11" s="25">
        <v>0</v>
      </c>
      <c r="E11" s="26">
        <v>46200</v>
      </c>
      <c r="F11" s="26">
        <v>46200</v>
      </c>
      <c r="G11" s="50" t="s">
        <v>75</v>
      </c>
      <c r="H11" s="51"/>
      <c r="I11" s="52" t="s">
        <v>140</v>
      </c>
      <c r="J11" s="52"/>
      <c r="K11" s="52"/>
      <c r="L11" s="52"/>
      <c r="M11" s="52"/>
      <c r="N11" s="53"/>
    </row>
    <row r="12" spans="1:14">
      <c r="A12" s="29" t="s">
        <v>85</v>
      </c>
      <c r="B12" s="30" t="s">
        <v>30</v>
      </c>
      <c r="C12" s="30" t="s">
        <v>86</v>
      </c>
      <c r="D12" s="31">
        <v>7</v>
      </c>
      <c r="E12" s="32">
        <v>46201</v>
      </c>
      <c r="F12" s="32">
        <v>46205</v>
      </c>
      <c r="G12" s="54" t="s">
        <v>67</v>
      </c>
      <c r="H12" s="55"/>
      <c r="I12" s="56" t="s">
        <v>139</v>
      </c>
      <c r="J12" s="56" t="s">
        <v>139</v>
      </c>
      <c r="K12" s="56"/>
      <c r="L12" s="56"/>
      <c r="M12" s="56"/>
      <c r="N12" s="57"/>
    </row>
    <row r="13" spans="1:14">
      <c r="A13" s="23" t="s">
        <v>37</v>
      </c>
      <c r="B13" s="24" t="s">
        <v>30</v>
      </c>
      <c r="C13" s="24" t="s">
        <v>88</v>
      </c>
      <c r="D13" s="25">
        <v>0</v>
      </c>
      <c r="E13" s="26">
        <v>46206</v>
      </c>
      <c r="F13" s="26">
        <v>46206</v>
      </c>
      <c r="G13" s="50" t="s">
        <v>75</v>
      </c>
      <c r="H13" s="51"/>
      <c r="I13" s="52"/>
      <c r="J13" s="52" t="s">
        <v>140</v>
      </c>
      <c r="K13" s="52"/>
      <c r="L13" s="52"/>
      <c r="M13" s="52"/>
      <c r="N13" s="53"/>
    </row>
    <row r="14" spans="1:14">
      <c r="A14" s="35" t="s">
        <v>90</v>
      </c>
      <c r="B14" s="36" t="s">
        <v>35</v>
      </c>
      <c r="C14" s="36" t="s">
        <v>91</v>
      </c>
      <c r="D14" s="37">
        <v>8</v>
      </c>
      <c r="E14" s="38">
        <v>46207</v>
      </c>
      <c r="F14" s="38">
        <v>46210</v>
      </c>
      <c r="G14" s="58" t="s">
        <v>67</v>
      </c>
      <c r="H14" s="59"/>
      <c r="I14" s="60"/>
      <c r="J14" s="60" t="s">
        <v>139</v>
      </c>
      <c r="K14" s="60" t="s">
        <v>139</v>
      </c>
      <c r="L14" s="60"/>
      <c r="M14" s="60"/>
      <c r="N14" s="61"/>
    </row>
    <row r="15" spans="1:14">
      <c r="A15" s="35" t="s">
        <v>93</v>
      </c>
      <c r="B15" s="36" t="s">
        <v>35</v>
      </c>
      <c r="C15" s="36" t="s">
        <v>94</v>
      </c>
      <c r="D15" s="37">
        <v>7</v>
      </c>
      <c r="E15" s="38">
        <v>46211</v>
      </c>
      <c r="F15" s="38">
        <v>46213</v>
      </c>
      <c r="G15" s="58" t="s">
        <v>67</v>
      </c>
      <c r="H15" s="59"/>
      <c r="I15" s="60"/>
      <c r="J15" s="60"/>
      <c r="K15" s="60" t="s">
        <v>139</v>
      </c>
      <c r="L15" s="60"/>
      <c r="M15" s="60"/>
      <c r="N15" s="61"/>
    </row>
    <row r="16" spans="1:14">
      <c r="A16" s="35" t="s">
        <v>95</v>
      </c>
      <c r="B16" s="36" t="s">
        <v>35</v>
      </c>
      <c r="C16" s="36" t="s">
        <v>96</v>
      </c>
      <c r="D16" s="37">
        <v>5</v>
      </c>
      <c r="E16" s="38">
        <v>46214</v>
      </c>
      <c r="F16" s="38">
        <v>46216</v>
      </c>
      <c r="G16" s="58" t="s">
        <v>67</v>
      </c>
      <c r="H16" s="59"/>
      <c r="I16" s="60"/>
      <c r="J16" s="60"/>
      <c r="K16" s="60" t="s">
        <v>139</v>
      </c>
      <c r="L16" s="60" t="s">
        <v>139</v>
      </c>
      <c r="M16" s="60"/>
      <c r="N16" s="61"/>
    </row>
    <row r="17" spans="1:14">
      <c r="A17" s="35" t="s">
        <v>99</v>
      </c>
      <c r="B17" s="36" t="s">
        <v>35</v>
      </c>
      <c r="C17" s="36" t="s">
        <v>100</v>
      </c>
      <c r="D17" s="37">
        <v>4</v>
      </c>
      <c r="E17" s="38">
        <v>46217</v>
      </c>
      <c r="F17" s="38">
        <v>46217</v>
      </c>
      <c r="G17" s="58" t="s">
        <v>67</v>
      </c>
      <c r="H17" s="59"/>
      <c r="I17" s="60"/>
      <c r="J17" s="60"/>
      <c r="K17" s="60"/>
      <c r="L17" s="60" t="s">
        <v>139</v>
      </c>
      <c r="M17" s="60"/>
      <c r="N17" s="61"/>
    </row>
    <row r="18" spans="1:14">
      <c r="A18" s="35" t="s">
        <v>102</v>
      </c>
      <c r="B18" s="36" t="s">
        <v>35</v>
      </c>
      <c r="C18" s="36" t="s">
        <v>103</v>
      </c>
      <c r="D18" s="37">
        <v>5</v>
      </c>
      <c r="E18" s="38">
        <v>46218</v>
      </c>
      <c r="F18" s="38">
        <v>46218</v>
      </c>
      <c r="G18" s="58" t="s">
        <v>67</v>
      </c>
      <c r="H18" s="59"/>
      <c r="I18" s="60"/>
      <c r="J18" s="60"/>
      <c r="K18" s="60"/>
      <c r="L18" s="60" t="s">
        <v>139</v>
      </c>
      <c r="M18" s="60"/>
      <c r="N18" s="61"/>
    </row>
    <row r="19" spans="1:14">
      <c r="A19" s="41" t="s">
        <v>106</v>
      </c>
      <c r="B19" s="42" t="s">
        <v>40</v>
      </c>
      <c r="C19" s="42" t="s">
        <v>107</v>
      </c>
      <c r="D19" s="43">
        <v>7</v>
      </c>
      <c r="E19" s="44">
        <v>46219</v>
      </c>
      <c r="F19" s="44">
        <v>46220</v>
      </c>
      <c r="G19" s="62" t="s">
        <v>67</v>
      </c>
      <c r="H19" s="51"/>
      <c r="I19" s="52"/>
      <c r="J19" s="52"/>
      <c r="K19" s="52"/>
      <c r="L19" s="52" t="s">
        <v>139</v>
      </c>
      <c r="M19" s="52"/>
      <c r="N19" s="53"/>
    </row>
    <row r="20" spans="1:14">
      <c r="A20" s="41" t="s">
        <v>110</v>
      </c>
      <c r="B20" s="42" t="s">
        <v>40</v>
      </c>
      <c r="C20" s="42" t="s">
        <v>111</v>
      </c>
      <c r="D20" s="43">
        <v>4</v>
      </c>
      <c r="E20" s="44">
        <v>46221</v>
      </c>
      <c r="F20" s="44">
        <v>46221</v>
      </c>
      <c r="G20" s="62" t="s">
        <v>67</v>
      </c>
      <c r="H20" s="51"/>
      <c r="I20" s="52"/>
      <c r="J20" s="52"/>
      <c r="K20" s="52"/>
      <c r="L20" s="52" t="s">
        <v>139</v>
      </c>
      <c r="M20" s="52"/>
      <c r="N20" s="53"/>
    </row>
    <row r="21" spans="1:14">
      <c r="A21" s="41" t="s">
        <v>113</v>
      </c>
      <c r="B21" s="42" t="s">
        <v>40</v>
      </c>
      <c r="C21" s="42" t="s">
        <v>114</v>
      </c>
      <c r="D21" s="43">
        <v>2</v>
      </c>
      <c r="E21" s="44">
        <v>46222</v>
      </c>
      <c r="F21" s="44">
        <v>46222</v>
      </c>
      <c r="G21" s="62" t="s">
        <v>67</v>
      </c>
      <c r="H21" s="51"/>
      <c r="I21" s="52"/>
      <c r="J21" s="52"/>
      <c r="K21" s="52"/>
      <c r="L21" s="52" t="s">
        <v>139</v>
      </c>
      <c r="M21" s="52"/>
      <c r="N21" s="53"/>
    </row>
    <row r="22" spans="1:14">
      <c r="A22" s="41" t="s">
        <v>116</v>
      </c>
      <c r="B22" s="42" t="s">
        <v>40</v>
      </c>
      <c r="C22" s="42" t="s">
        <v>117</v>
      </c>
      <c r="D22" s="43">
        <v>2</v>
      </c>
      <c r="E22" s="44">
        <v>46223</v>
      </c>
      <c r="F22" s="44">
        <v>46223</v>
      </c>
      <c r="G22" s="62" t="s">
        <v>67</v>
      </c>
      <c r="H22" s="51"/>
      <c r="I22" s="52"/>
      <c r="J22" s="52"/>
      <c r="K22" s="52"/>
      <c r="L22" s="52"/>
      <c r="M22" s="52" t="s">
        <v>139</v>
      </c>
      <c r="N22" s="53"/>
    </row>
    <row r="23" spans="1:14">
      <c r="A23" s="41" t="s">
        <v>119</v>
      </c>
      <c r="B23" s="42" t="s">
        <v>40</v>
      </c>
      <c r="C23" s="42" t="s">
        <v>120</v>
      </c>
      <c r="D23" s="43">
        <v>1</v>
      </c>
      <c r="E23" s="44">
        <v>46223</v>
      </c>
      <c r="F23" s="44">
        <v>46223</v>
      </c>
      <c r="G23" s="62" t="s">
        <v>67</v>
      </c>
      <c r="H23" s="51"/>
      <c r="I23" s="52"/>
      <c r="J23" s="52"/>
      <c r="K23" s="52"/>
      <c r="L23" s="52"/>
      <c r="M23" s="52" t="s">
        <v>139</v>
      </c>
      <c r="N23" s="53"/>
    </row>
    <row r="24" spans="1:14">
      <c r="A24" s="23" t="s">
        <v>42</v>
      </c>
      <c r="B24" s="24" t="s">
        <v>122</v>
      </c>
      <c r="C24" s="24" t="s">
        <v>123</v>
      </c>
      <c r="D24" s="25">
        <v>0</v>
      </c>
      <c r="E24" s="26">
        <v>46224</v>
      </c>
      <c r="F24" s="26">
        <v>46224</v>
      </c>
      <c r="G24" s="50" t="s">
        <v>75</v>
      </c>
      <c r="H24" s="51"/>
      <c r="I24" s="52"/>
      <c r="J24" s="52"/>
      <c r="K24" s="52"/>
      <c r="L24" s="52"/>
      <c r="M24" s="52" t="s">
        <v>140</v>
      </c>
      <c r="N24" s="53"/>
    </row>
    <row r="25" spans="1:14">
      <c r="A25" s="23" t="s">
        <v>45</v>
      </c>
      <c r="B25" s="24" t="s">
        <v>122</v>
      </c>
      <c r="C25" s="24" t="s">
        <v>46</v>
      </c>
      <c r="D25" s="25">
        <v>0</v>
      </c>
      <c r="E25" s="26">
        <v>46227</v>
      </c>
      <c r="F25" s="26">
        <v>46227</v>
      </c>
      <c r="G25" s="50" t="s">
        <v>75</v>
      </c>
      <c r="H25" s="51"/>
      <c r="I25" s="52"/>
      <c r="J25" s="52"/>
      <c r="K25" s="52"/>
      <c r="L25" s="52"/>
      <c r="M25" s="52" t="s">
        <v>140</v>
      </c>
      <c r="N25" s="53"/>
    </row>
    <row r="26" spans="1:14">
      <c r="A26" s="23" t="s">
        <v>48</v>
      </c>
      <c r="B26" s="24" t="s">
        <v>122</v>
      </c>
      <c r="C26" s="24" t="s">
        <v>14</v>
      </c>
      <c r="D26" s="25">
        <v>0</v>
      </c>
      <c r="E26" s="26">
        <v>46231</v>
      </c>
      <c r="F26" s="26">
        <v>46231</v>
      </c>
      <c r="G26" s="50" t="s">
        <v>75</v>
      </c>
      <c r="H26" s="51"/>
      <c r="I26" s="52"/>
      <c r="J26" s="52"/>
      <c r="K26" s="52"/>
      <c r="L26" s="52"/>
      <c r="M26" s="52"/>
      <c r="N26" s="53" t="s">
        <v>140</v>
      </c>
    </row>
    <row r="27" spans="1:14">
      <c r="A27" s="23" t="s">
        <v>50</v>
      </c>
      <c r="B27" s="24" t="s">
        <v>122</v>
      </c>
      <c r="C27" s="24" t="s">
        <v>127</v>
      </c>
      <c r="D27" s="25">
        <v>0</v>
      </c>
      <c r="E27" s="26">
        <v>46233</v>
      </c>
      <c r="F27" s="26">
        <v>46233</v>
      </c>
      <c r="G27" s="50" t="s">
        <v>75</v>
      </c>
      <c r="H27" s="51"/>
      <c r="I27" s="52"/>
      <c r="J27" s="52"/>
      <c r="K27" s="52"/>
      <c r="L27" s="52"/>
      <c r="M27" s="52"/>
      <c r="N27" s="53" t="s">
        <v>140</v>
      </c>
    </row>
    <row r="29" spans="1:14">
      <c r="B29" s="85" t="s">
        <v>146</v>
      </c>
      <c r="C29" s="50" t="s">
        <v>142</v>
      </c>
      <c r="D29" s="83" t="s">
        <v>143</v>
      </c>
      <c r="E29" s="84" t="s">
        <v>144</v>
      </c>
      <c r="F29" s="83"/>
    </row>
    <row r="30" spans="1:14">
      <c r="B30" s="85"/>
      <c r="C30" s="50" t="s">
        <v>145</v>
      </c>
    </row>
  </sheetData>
  <mergeCells count="3">
    <mergeCell ref="A1:N2"/>
    <mergeCell ref="A3:N3"/>
    <mergeCell ref="B29:B30"/>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Synthèse</vt:lpstr>
      <vt:lpstr>Plan détaillé</vt:lpstr>
      <vt:lpstr>Gantt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Henrique Da Costa</cp:lastModifiedBy>
  <cp:lastPrinted>2026-06-26T13:36:06Z</cp:lastPrinted>
  <dcterms:created xsi:type="dcterms:W3CDTF">2026-07-01T16:52:50Z</dcterms:created>
  <dcterms:modified xsi:type="dcterms:W3CDTF">2026-07-01T16:52:50Z</dcterms:modified>
</cp:coreProperties>
</file>