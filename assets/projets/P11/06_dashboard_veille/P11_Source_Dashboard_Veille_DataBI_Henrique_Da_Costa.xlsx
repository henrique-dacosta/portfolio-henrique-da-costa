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\P11\portfolio_henrique_streamlit_v3\Livrables P11\TAB_BI_Veille\"/>
    </mc:Choice>
  </mc:AlternateContent>
  <xr:revisionPtr revIDLastSave="0" documentId="8_{126F815E-7BE1-439F-9231-5FB12E726D7C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Mode_emploi" sheetId="1" r:id="rId1"/>
    <sheet name="Sources" sheetId="2" r:id="rId2"/>
    <sheet name="Thematiques" sheetId="3" r:id="rId3"/>
    <sheet name="Veille" sheetId="4" r:id="rId4"/>
    <sheet name="Recommandations" sheetId="5" r:id="rId5"/>
    <sheet name="Modele_PowerBI" sheetId="6" r:id="rId6"/>
    <sheet name="Contro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B11" i="7"/>
  <c r="B10" i="7"/>
  <c r="B9" i="7"/>
  <c r="B8" i="7"/>
  <c r="B7" i="7"/>
  <c r="B6" i="7"/>
  <c r="B5" i="7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</calcChain>
</file>

<file path=xl/sharedStrings.xml><?xml version="1.0" encoding="utf-8"?>
<sst xmlns="http://schemas.openxmlformats.org/spreadsheetml/2006/main" count="881" uniqueCount="496">
  <si>
    <t>P11 — Source de données du dashboard de veille Data / BI</t>
  </si>
  <si>
    <t>Fichier d’alimentation Power BI — version d’amorçage pédagogique, sourcée et modifiable</t>
  </si>
  <si>
    <t>Rubrique</t>
  </si>
  <si>
    <t>Contenu</t>
  </si>
  <si>
    <t>Objectif</t>
  </si>
  <si>
    <t>Alimenter le tableau de bord de veille métier et technologique attendu dans le projet P11.</t>
  </si>
  <si>
    <t>Usage</t>
  </si>
  <si>
    <t>Importer les tables Sources, Thematiques, Veille et Recommandations dans Power BI Desktop.</t>
  </si>
  <si>
    <t>Périmètre</t>
  </si>
  <si>
    <t>Veille Data / BI : Power BI, Fabric, IA générative, gouvernance, data quality, automatisation et éthique.</t>
  </si>
  <si>
    <t>Principe</t>
  </si>
  <si>
    <t>Jeu de données volontairement simple : assez riche pour démontrer la démarche, sans complexité excessive.</t>
  </si>
  <si>
    <t>Mise à jour</t>
  </si>
  <si>
    <t>Ajouter une ligne dans Veille à chaque observation utile ; relier la ligne à une Source_ID existante.</t>
  </si>
  <si>
    <t>Étape</t>
  </si>
  <si>
    <t>Action</t>
  </si>
  <si>
    <t>Dans Power BI</t>
  </si>
  <si>
    <t>Résultat attendu</t>
  </si>
  <si>
    <t>1</t>
  </si>
  <si>
    <t>Importer ce fichier Excel.</t>
  </si>
  <si>
    <t>Accueil &gt; Obtenir des données &gt; Excel</t>
  </si>
  <si>
    <t>Tables chargées dans le modèle.</t>
  </si>
  <si>
    <t>2</t>
  </si>
  <si>
    <t>Charger Sources, Thematiques, Veille et Recommandations.</t>
  </si>
  <si>
    <t>Power Query &gt; Fermer &amp; appliquer</t>
  </si>
  <si>
    <t>Modèle prêt à être relié.</t>
  </si>
  <si>
    <t>3</t>
  </si>
  <si>
    <t>Créer les relations.</t>
  </si>
  <si>
    <t>Modèle : Sources[Source_ID] → Veille[Source_ID] ; Thematiques[Thematique] → Veille[Thematique]</t>
  </si>
  <si>
    <t>Filtres cohérents par source et thématique.</t>
  </si>
  <si>
    <t>4</t>
  </si>
  <si>
    <t>Ajouter les mesures DAX proposées.</t>
  </si>
  <si>
    <t>Vue Rapport &gt; Nouvelle mesure</t>
  </si>
  <si>
    <t>KPI disponibles.</t>
  </si>
  <si>
    <t>5</t>
  </si>
  <si>
    <t>Créer une page unique de dashboard.</t>
  </si>
  <si>
    <t>KPI + matrice impact/maturité + sources + recommandations</t>
  </si>
  <si>
    <t>Dashboard lisible en moins de 3 minutes.</t>
  </si>
  <si>
    <t>6</t>
  </si>
  <si>
    <t>Exporter en PDF et sauvegarder le PBIX.</t>
  </si>
  <si>
    <t>Fichier &gt; Exporter &gt; PDF</t>
  </si>
  <si>
    <t>Livrables intégrables au portfolio.</t>
  </si>
  <si>
    <t>7</t>
  </si>
  <si>
    <t>Documenter les arbitrages.</t>
  </si>
  <si>
    <t>Page Gestion du projet P11</t>
  </si>
  <si>
    <t>Traçabilité du besoin OC.</t>
  </si>
  <si>
    <t>Source_ID</t>
  </si>
  <si>
    <t>Nom_source</t>
  </si>
  <si>
    <t>Type_source</t>
  </si>
  <si>
    <t>Organisme</t>
  </si>
  <si>
    <t>URL</t>
  </si>
  <si>
    <t>Langue</t>
  </si>
  <si>
    <t>Fiabilite</t>
  </si>
  <si>
    <t>Frequence_suivi</t>
  </si>
  <si>
    <t>Thematique_principale</t>
  </si>
  <si>
    <t>Commentaire</t>
  </si>
  <si>
    <t>S001</t>
  </si>
  <si>
    <t>Documentation Power BI</t>
  </si>
  <si>
    <t>Documentation officielle</t>
  </si>
  <si>
    <t>Microsoft Learn</t>
  </si>
  <si>
    <t>https://learn.microsoft.com/fr-fr/power-bi/</t>
  </si>
  <si>
    <t>FR</t>
  </si>
  <si>
    <t>Haute</t>
  </si>
  <si>
    <t>Mensuelle</t>
  </si>
  <si>
    <t>Power BI</t>
  </si>
  <si>
    <t>Référence produit et bonnes pratiques.</t>
  </si>
  <si>
    <t>S002</t>
  </si>
  <si>
    <t>What's new in Power BI</t>
  </si>
  <si>
    <t>https://learn.microsoft.com/en-us/power-bi/fundamentals/whats-new</t>
  </si>
  <si>
    <t>EN</t>
  </si>
  <si>
    <t>Suivi des nouveautés Power BI.</t>
  </si>
  <si>
    <t>S003</t>
  </si>
  <si>
    <t>Power BI Updates Blog</t>
  </si>
  <si>
    <t>Blog éditeur</t>
  </si>
  <si>
    <t>Microsoft Fabric Community</t>
  </si>
  <si>
    <t>https://community.fabric.microsoft.com/t5/Power-BI-Updates-Blog/bg-p/fbc_pbiupdatesblog</t>
  </si>
  <si>
    <t>Annonces mensuelles et évolutions produit.</t>
  </si>
  <si>
    <t>S004</t>
  </si>
  <si>
    <t>Microsoft Fabric Blog</t>
  </si>
  <si>
    <t>Microsoft</t>
  </si>
  <si>
    <t>https://blog.fabric.microsoft.com/</t>
  </si>
  <si>
    <t>Microsoft Fabric</t>
  </si>
  <si>
    <t>Actualités Fabric et analytics.</t>
  </si>
  <si>
    <t>S005</t>
  </si>
  <si>
    <t>What's new in Microsoft Fabric</t>
  </si>
  <si>
    <t>https://learn.microsoft.com/en-us/fabric/fundamentals/whats-new</t>
  </si>
  <si>
    <t>Suivi des nouveautés Fabric.</t>
  </si>
  <si>
    <t>S006</t>
  </si>
  <si>
    <t>Présentation Power BI</t>
  </si>
  <si>
    <t>Page produit officielle</t>
  </si>
  <si>
    <t>https://www.microsoft.com/fr-fr/power-platform/products/power-bi</t>
  </si>
  <si>
    <t>Trimestrielle</t>
  </si>
  <si>
    <t>Self-service BI</t>
  </si>
  <si>
    <t>Positionnement produit et usages métiers.</t>
  </si>
  <si>
    <t>S007</t>
  </si>
  <si>
    <t>Chaîne Microsoft Power BI</t>
  </si>
  <si>
    <t>Vidéo officielle</t>
  </si>
  <si>
    <t>Microsoft Power BI</t>
  </si>
  <si>
    <t>https://www.youtube.com/@MicrosoftPowerBI</t>
  </si>
  <si>
    <t>Formation BI</t>
  </si>
  <si>
    <t>Tutoriels et démonstrations.</t>
  </si>
  <si>
    <t>S008</t>
  </si>
  <si>
    <t>CNIL — Intelligence artificielle</t>
  </si>
  <si>
    <t>Institution</t>
  </si>
  <si>
    <t>CNIL</t>
  </si>
  <si>
    <t>https://www.cnil.fr/en/topics/artificial-intelligence-ai</t>
  </si>
  <si>
    <t>IA responsable</t>
  </si>
  <si>
    <t>Principes et recommandations IA.</t>
  </si>
  <si>
    <t>S009</t>
  </si>
  <si>
    <t>CNIL — AI system development and GDPR</t>
  </si>
  <si>
    <t>https://www.cnil.fr/en/ai-system-development-cnils-recommendations-to-comply-gdpr</t>
  </si>
  <si>
    <t>Conformité IA</t>
  </si>
  <si>
    <t>Recommandations pour développer des systèmes IA conformes RGPD.</t>
  </si>
  <si>
    <t>S010</t>
  </si>
  <si>
    <t>AI Act — Commission européenne</t>
  </si>
  <si>
    <t>Commission européenne</t>
  </si>
  <si>
    <t>https://digital-strategy.ec.europa.eu/en/policies/regulatory-framework-ai</t>
  </si>
  <si>
    <t>Réglementation IA</t>
  </si>
  <si>
    <t>Cadre européen de l’IA.</t>
  </si>
  <si>
    <t>S011</t>
  </si>
  <si>
    <t>CNIL — GDPR Developer's Guide</t>
  </si>
  <si>
    <t>https://www.cnil.fr/en/gdpr-developers-guide</t>
  </si>
  <si>
    <t>Privacy by design</t>
  </si>
  <si>
    <t>Guide développeur RGPD.</t>
  </si>
  <si>
    <t>S012</t>
  </si>
  <si>
    <t>Tableau Blog</t>
  </si>
  <si>
    <t>Tableau</t>
  </si>
  <si>
    <t>https://www.tableau.com/blog</t>
  </si>
  <si>
    <t>Moyenne</t>
  </si>
  <si>
    <t>Data visualisation</t>
  </si>
  <si>
    <t>Benchmark BI et visualisation.</t>
  </si>
  <si>
    <t>S013</t>
  </si>
  <si>
    <t>Databricks Blog</t>
  </si>
  <si>
    <t>Databricks</t>
  </si>
  <si>
    <t>https://www.databricks.com/blog</t>
  </si>
  <si>
    <t>Data platform</t>
  </si>
  <si>
    <t>Tendances lakehouse, gouvernance et IA.</t>
  </si>
  <si>
    <t>S014</t>
  </si>
  <si>
    <t>dbt Blog</t>
  </si>
  <si>
    <t>dbt Labs</t>
  </si>
  <si>
    <t>https://www.getdbt.com/blog</t>
  </si>
  <si>
    <t>Analytics engineering</t>
  </si>
  <si>
    <t>Bonnes pratiques transformation et qualité.</t>
  </si>
  <si>
    <t>S015</t>
  </si>
  <si>
    <t>Gartner Data &amp; Analytics</t>
  </si>
  <si>
    <t>Analyste / veille marché</t>
  </si>
  <si>
    <t>Gartner</t>
  </si>
  <si>
    <t>https://www.gartner.com/en/topics/data-and-analytics</t>
  </si>
  <si>
    <t>Marché Data</t>
  </si>
  <si>
    <t>Tendances marché et positionnement.</t>
  </si>
  <si>
    <t>Thematique</t>
  </si>
  <si>
    <t>Domaine</t>
  </si>
  <si>
    <t>Description</t>
  </si>
  <si>
    <t>Priorite</t>
  </si>
  <si>
    <t>Couleur_indicative</t>
  </si>
  <si>
    <t>Exemple_usage_dashboard</t>
  </si>
  <si>
    <t>BI / Reporting</t>
  </si>
  <si>
    <t>Évolutions Power BI Desktop, service, DAX, publication et partage.</t>
  </si>
  <si>
    <t>Bleu</t>
  </si>
  <si>
    <t>Suivre les nouveautés exploitables dans le portfolio et la formation.</t>
  </si>
  <si>
    <t>Plateforme Data</t>
  </si>
  <si>
    <t>Écosystème Fabric, lakehouse, data engineering, real-time analytics.</t>
  </si>
  <si>
    <t>Indigo</t>
  </si>
  <si>
    <t>Comprendre les trajectoires d’industrialisation BI.</t>
  </si>
  <si>
    <t>IA générative</t>
  </si>
  <si>
    <t>Innovation</t>
  </si>
  <si>
    <t>Copilots, assistants, analyse augmentée, agents et usages Data.</t>
  </si>
  <si>
    <t>Violet</t>
  </si>
  <si>
    <t>Identifier les usages à tester sans surpromettre.</t>
  </si>
  <si>
    <t>Data Quality</t>
  </si>
  <si>
    <t>Fiabilisation</t>
  </si>
  <si>
    <t>Contrôles, détection d’anomalies, qualité et fiabilité des indicateurs.</t>
  </si>
  <si>
    <t>Vert</t>
  </si>
  <si>
    <t>Renforcer le fil conducteur fiabiliser les données.</t>
  </si>
  <si>
    <t>Data Governance</t>
  </si>
  <si>
    <t>Gouvernance</t>
  </si>
  <si>
    <t>Catalogage, lineage, rôles, responsabilités et conformité.</t>
  </si>
  <si>
    <t>Sarcelle</t>
  </si>
  <si>
    <t>Relier données, conformité et traçabilité.</t>
  </si>
  <si>
    <t>Adoption métier</t>
  </si>
  <si>
    <t>Autonomie des utilisateurs, gouvernance légère et diffusion des rapports.</t>
  </si>
  <si>
    <t>Cyan</t>
  </si>
  <si>
    <t>Accompagnement des équipes et pédagogie.</t>
  </si>
  <si>
    <t>Automatisation / APIs</t>
  </si>
  <si>
    <t>Industrialisation légère</t>
  </si>
  <si>
    <t>Flux automatisés, connecteurs, APIs, rafraîchissement et observabilité.</t>
  </si>
  <si>
    <t>Orange</t>
  </si>
  <si>
    <t>Prioriser les gains de temps réalistes.</t>
  </si>
  <si>
    <t>Réglementation &amp; éthique</t>
  </si>
  <si>
    <t>Conformité</t>
  </si>
  <si>
    <t>RGPD, AI Act, privacy by design et responsabilité des usages IA.</t>
  </si>
  <si>
    <t>Rouge</t>
  </si>
  <si>
    <t>Sécuriser les usages Data / IA dans un contexte client.</t>
  </si>
  <si>
    <t>Veille_ID</t>
  </si>
  <si>
    <t>Date_observation</t>
  </si>
  <si>
    <t>Titre</t>
  </si>
  <si>
    <t>Sous_thematique</t>
  </si>
  <si>
    <t>Resume</t>
  </si>
  <si>
    <t>Impact_metier</t>
  </si>
  <si>
    <t>Maturite</t>
  </si>
  <si>
    <t>Urgence</t>
  </si>
  <si>
    <t>Urgence_score</t>
  </si>
  <si>
    <t>Pertinence_Aeroworld</t>
  </si>
  <si>
    <t>Pertinence_portfolio</t>
  </si>
  <si>
    <t>Statut</t>
  </si>
  <si>
    <t>Recommandation</t>
  </si>
  <si>
    <t>Lien_source</t>
  </si>
  <si>
    <t>Score_priorite</t>
  </si>
  <si>
    <t>Action_cible</t>
  </si>
  <si>
    <t>V001</t>
  </si>
  <si>
    <t>Suivre les nouveautés Power BI mensuelles</t>
  </si>
  <si>
    <t>Nouveautés produit</t>
  </si>
  <si>
    <t>Les mises à jour Power BI peuvent améliorer reporting, modélisation et publication.</t>
  </si>
  <si>
    <t>Forte</t>
  </si>
  <si>
    <t>À surveiller</t>
  </si>
  <si>
    <t>Revoir les nouveautés utiles au dashboard profil et veille.</t>
  </si>
  <si>
    <t>Dashboard</t>
  </si>
  <si>
    <t>V002</t>
  </si>
  <si>
    <t>Structurer une veille à partir de sources officielles</t>
  </si>
  <si>
    <t>Documentation</t>
  </si>
  <si>
    <t>La documentation officielle reste la base de validation des choix BI.</t>
  </si>
  <si>
    <t>Recommandé</t>
  </si>
  <si>
    <t>Citer les sources officielles dans le fichier d’alimentation.</t>
  </si>
  <si>
    <t>V003</t>
  </si>
  <si>
    <t>Power BI comme support de self-service BI</t>
  </si>
  <si>
    <t>La BI self-service soutient l’autonomie des utilisateurs sous réserve de gouvernance.</t>
  </si>
  <si>
    <t>À tester</t>
  </si>
  <si>
    <t>Prévoir une recommandation sur l’accompagnement des utilisateurs.</t>
  </si>
  <si>
    <t>Formation</t>
  </si>
  <si>
    <t>V004</t>
  </si>
  <si>
    <t>Surveiller l’intégration Fabric dans l’écosystème Microsoft</t>
  </si>
  <si>
    <t>Plateforme unifiée</t>
  </si>
  <si>
    <t>Fabric peut devenir une trajectoire d’évolution pour les projets BI plus industrialisés.</t>
  </si>
  <si>
    <t>Faible</t>
  </si>
  <si>
    <t>Présenter Fabric comme piste future, hors périmètre P11.</t>
  </si>
  <si>
    <t>Veille</t>
  </si>
  <si>
    <t>V005</t>
  </si>
  <si>
    <t>Relier qualité des données et confiance dans les indicateurs</t>
  </si>
  <si>
    <t>Contrôles</t>
  </si>
  <si>
    <t>Les traitements BI doivent intégrer règles de contrôle et documentation.</t>
  </si>
  <si>
    <t>Faire apparaître la data quality comme axe clé du portfolio.</t>
  </si>
  <si>
    <t>Portfolio</t>
  </si>
  <si>
    <t>V006</t>
  </si>
  <si>
    <t>Documenter les transformations Power Query</t>
  </si>
  <si>
    <t>Power Query</t>
  </si>
  <si>
    <t>La documentation des transformations facilite maintenance et audit.</t>
  </si>
  <si>
    <t>Prévoir une procédure utilisateur Power BI courte.</t>
  </si>
  <si>
    <t>V007</t>
  </si>
  <si>
    <t>Analyser les usages de Copilot et IA générative en BI</t>
  </si>
  <si>
    <t>Analyse augmentée</t>
  </si>
  <si>
    <t>Les fonctions IA peuvent assister analyse, résumé et exploration mais nécessitent cadrage.</t>
  </si>
  <si>
    <t>Positionner l’IA comme accélérateur contrôlé, pas comme substitut à l’analyse.</t>
  </si>
  <si>
    <t>V008</t>
  </si>
  <si>
    <t>Évaluer les risques de confidentialité dans l’usage IA</t>
  </si>
  <si>
    <t>L’usage de l’IA doit respecter protection des données, transparence et minimisation.</t>
  </si>
  <si>
    <t>Ajouter un rappel RGPD / IA responsable dans la veille.</t>
  </si>
  <si>
    <t>V009</t>
  </si>
  <si>
    <t>AI Act : surveiller le cadre européen</t>
  </si>
  <si>
    <t>AI Act</t>
  </si>
  <si>
    <t>Le cadre européen de l’IA structure les obligations selon les risques.</t>
  </si>
  <si>
    <t>Conserver un suivi trimestriel des obligations IA.</t>
  </si>
  <si>
    <t>V010</t>
  </si>
  <si>
    <t>Privacy by design dans les projets Data</t>
  </si>
  <si>
    <t>Les projets Data doivent intégrer la protection des données dès la conception.</t>
  </si>
  <si>
    <t>Relier P4 RGPD au dashboard de veille.</t>
  </si>
  <si>
    <t>V011</t>
  </si>
  <si>
    <t>Benchmark Data visualisation entre Power BI et Tableau</t>
  </si>
  <si>
    <t>Visualisation</t>
  </si>
  <si>
    <t>La comparaison d’outils aide à justifier le choix Power BI.</t>
  </si>
  <si>
    <t>À documenter</t>
  </si>
  <si>
    <t>Conserver Power BI comme outil principal pour conformité au parcours.</t>
  </si>
  <si>
    <t>V012</t>
  </si>
  <si>
    <t>Suivre les usages du semantic model Power BI</t>
  </si>
  <si>
    <t>Modèle sémantique</t>
  </si>
  <si>
    <t>Les modèles sémantiques améliorent cohérence des mesures et réutilisation.</t>
  </si>
  <si>
    <t>Prévoir des mesures DAX simples et documentées.</t>
  </si>
  <si>
    <t>V013</t>
  </si>
  <si>
    <t>Automatiser la collecte sans complexifier le P11</t>
  </si>
  <si>
    <t>L’automatisation est utile mais doit rester proportionnée au besoin pédagogique.</t>
  </si>
  <si>
    <t>À arbitrer</t>
  </si>
  <si>
    <t>Retenir un fichier Excel source plutôt qu’un flux API pour P11.</t>
  </si>
  <si>
    <t>Arbitrage</t>
  </si>
  <si>
    <t>V014</t>
  </si>
  <si>
    <t>Faire de la veille une aide à la décision</t>
  </si>
  <si>
    <t>Décision</t>
  </si>
  <si>
    <t>La veille est utile si elle se transforme en recommandations priorisées.</t>
  </si>
  <si>
    <t>Ajouter un panneau de recommandations dans le dashboard.</t>
  </si>
  <si>
    <t>V015</t>
  </si>
  <si>
    <t>Data lineage et traçabilité</t>
  </si>
  <si>
    <t>Lineage</t>
  </si>
  <si>
    <t>La traçabilité facilite audit, gouvernance et fiabilité des indicateurs.</t>
  </si>
  <si>
    <t>Mentionner lineage dans les recommandations futures.</t>
  </si>
  <si>
    <t>V016</t>
  </si>
  <si>
    <t>Data observability</t>
  </si>
  <si>
    <t>Observabilité</t>
  </si>
  <si>
    <t>Les pratiques d’observability visent à détecter ruptures et anomalies de pipelines.</t>
  </si>
  <si>
    <t>Classer comme tendance à suivre à moyen terme.</t>
  </si>
  <si>
    <t>V017</t>
  </si>
  <si>
    <t>Mesures DAX simples et gouvernées</t>
  </si>
  <si>
    <t>DAX</t>
  </si>
  <si>
    <t>Des mesures courtes et nommées clairement améliorent confiance et maintenance.</t>
  </si>
  <si>
    <t>Limiter le modèle DAX aux KPI utiles au P11.</t>
  </si>
  <si>
    <t>V018</t>
  </si>
  <si>
    <t>Rafraîchissement et publication des rapports</t>
  </si>
  <si>
    <t>Publication</t>
  </si>
  <si>
    <t>Le passage Desktop → Service impose de clarifier sources et rafraîchissement.</t>
  </si>
  <si>
    <t>Prévoir un guide de publication dans la documentation technique.</t>
  </si>
  <si>
    <t>V019</t>
  </si>
  <si>
    <t>Communiquer les limites de l’IA générative</t>
  </si>
  <si>
    <t>Les recommandations CNIL rappellent que les usages IA doivent rester contrôlés.</t>
  </si>
  <si>
    <t>Créer une recommandation de prudence et validation humaine.</t>
  </si>
  <si>
    <t>V020</t>
  </si>
  <si>
    <t>Adoption métier et acculturation BI</t>
  </si>
  <si>
    <t>La formation courte soutient l’adoption des tableaux de bord par les utilisateurs.</t>
  </si>
  <si>
    <t>Relier la vidéo de formation à un cas Power BI simple.</t>
  </si>
  <si>
    <t>V021</t>
  </si>
  <si>
    <t>Structurer un portefeuille de preuves</t>
  </si>
  <si>
    <t>Data storytelling</t>
  </si>
  <si>
    <t>La preuve doit être lisible, contextualisée et reliée à une compétence.</t>
  </si>
  <si>
    <t>Conserver une matrice compétences → preuves dans le portfolio.</t>
  </si>
  <si>
    <t>V022</t>
  </si>
  <si>
    <t>Data storytelling décisionnel</t>
  </si>
  <si>
    <t>Restitution</t>
  </si>
  <si>
    <t>La visualisation doit porter une recommandation et pas seulement afficher des données.</t>
  </si>
  <si>
    <t>Ajouter des titres orientés décision dans Power BI.</t>
  </si>
  <si>
    <t>V023</t>
  </si>
  <si>
    <t>Contrôler la cohérence des sources</t>
  </si>
  <si>
    <t>Référentiels</t>
  </si>
  <si>
    <t>Les tables de référence limitent les erreurs de libellés et de regroupement.</t>
  </si>
  <si>
    <t>Utiliser une table Thematiques dans le fichier Excel.</t>
  </si>
  <si>
    <t>Data model</t>
  </si>
  <si>
    <t>V024</t>
  </si>
  <si>
    <t>Éviter la complexité excessive dans P11</t>
  </si>
  <si>
    <t>Cadrage</t>
  </si>
  <si>
    <t>Un dashboard pédagogique doit être lisible et défendable dans le temps imparti.</t>
  </si>
  <si>
    <t>Retenir une page principale et limiter les mesures DAX.</t>
  </si>
  <si>
    <t>V025</t>
  </si>
  <si>
    <t>Indicateurs de maturité des sujets</t>
  </si>
  <si>
    <t>Priorisation</t>
  </si>
  <si>
    <t>La maturité aide à distinguer tendance émergente, sujet à tester et pratique établie.</t>
  </si>
  <si>
    <t>Construire une matrice impact/maturité.</t>
  </si>
  <si>
    <t>V026</t>
  </si>
  <si>
    <t>Outils de data catalog</t>
  </si>
  <si>
    <t>Catalogue</t>
  </si>
  <si>
    <t>Les catalogues aident à documenter les données et à sécuriser leur usage.</t>
  </si>
  <si>
    <t>Classer en opportunité moyen terme.</t>
  </si>
  <si>
    <t>V027</t>
  </si>
  <si>
    <t>Self-service BI sous contrôle</t>
  </si>
  <si>
    <t>Gouvernance légère</t>
  </si>
  <si>
    <t>L’autonomie métier nécessite règles de publication, ownership et documentation.</t>
  </si>
  <si>
    <t>Inclure une recommandation de gouvernance légère.</t>
  </si>
  <si>
    <t>V028</t>
  </si>
  <si>
    <t>API et automatisation des flux</t>
  </si>
  <si>
    <t>Pipelines</t>
  </si>
  <si>
    <t>L’automatisation allège la mise à jour mais suppose logs et contrôles.</t>
  </si>
  <si>
    <t>Citer comme piste future plutôt que périmètre P11.</t>
  </si>
  <si>
    <t>V029</t>
  </si>
  <si>
    <t>Former à créer un graphique clair</t>
  </si>
  <si>
    <t>Un exercice simple de visualisation suffit à démontrer pédagogie et accompagnement.</t>
  </si>
  <si>
    <t>Choisir ce sujet pour la vidéo de formation.</t>
  </si>
  <si>
    <t>V030</t>
  </si>
  <si>
    <t>Choix de formats légers pour publication</t>
  </si>
  <si>
    <t>Déploiement</t>
  </si>
  <si>
    <t>Le portfolio doit privilégier PDF et images plutôt que fichiers lourds en ligne.</t>
  </si>
  <si>
    <t>Mettre PBIX en version locale et PDF en version publique.</t>
  </si>
  <si>
    <t>V031</t>
  </si>
  <si>
    <t>Éthique et explicabilité des recommandations</t>
  </si>
  <si>
    <t>Responsabilité</t>
  </si>
  <si>
    <t>Les recommandations issues d’IA ou d’analyse doivent rester compréhensibles.</t>
  </si>
  <si>
    <t>Ajouter une mention de validation humaine dans la veille.</t>
  </si>
  <si>
    <t>V032</t>
  </si>
  <si>
    <t>Conserver une veille actualisable</t>
  </si>
  <si>
    <t>Méthode</t>
  </si>
  <si>
    <t>Le dashboard doit être alimentable par simple ajout de lignes.</t>
  </si>
  <si>
    <t>Utiliser Excel comme source modifiable et traçable.</t>
  </si>
  <si>
    <t>Reco_ID</t>
  </si>
  <si>
    <t>Benefice_attendu</t>
  </si>
  <si>
    <t>Effort</t>
  </si>
  <si>
    <t>Impact</t>
  </si>
  <si>
    <t>Echeance</t>
  </si>
  <si>
    <t>Lien_veille</t>
  </si>
  <si>
    <t>R001</t>
  </si>
  <si>
    <t>Construire une page de veille synthétique en Power BI.</t>
  </si>
  <si>
    <t>Démontrer la compétence de veille et de restitution.</t>
  </si>
  <si>
    <t>Moyen</t>
  </si>
  <si>
    <t>Élevé</t>
  </si>
  <si>
    <t>Court terme</t>
  </si>
  <si>
    <t>À faire</t>
  </si>
  <si>
    <t>R002</t>
  </si>
  <si>
    <t>Relier la veille à la fiabilité des données et aux contrôles.</t>
  </si>
  <si>
    <t>Renforcer le fil conducteur du portfolio.</t>
  </si>
  <si>
    <t>R003</t>
  </si>
  <si>
    <t>Surveiller les usages IA en BI sans les surpromettre.</t>
  </si>
  <si>
    <t>Montrer une posture responsable et critique.</t>
  </si>
  <si>
    <t>R004</t>
  </si>
  <si>
    <t>Documenter les précautions RGPD / IA responsable.</t>
  </si>
  <si>
    <t>Sécuriser le discours devant un client sensible.</t>
  </si>
  <si>
    <t>R005</t>
  </si>
  <si>
    <t>Prévoir une mini-formation Power BI centrée sur un graphique clair.</t>
  </si>
  <si>
    <t>Démontrer pédagogie et accompagnement.</t>
  </si>
  <si>
    <t>R006</t>
  </si>
  <si>
    <t>Ajouter une recommandation sur ownership, sources et traçabilité.</t>
  </si>
  <si>
    <t>Montrer une compréhension des enjeux entreprise.</t>
  </si>
  <si>
    <t>R007</t>
  </si>
  <si>
    <t>Classer l’automatisation en piste d’évolution, hors périmètre immédiat.</t>
  </si>
  <si>
    <t>Éviter la complexité excessive du P11.</t>
  </si>
  <si>
    <t>Moyen terme</t>
  </si>
  <si>
    <t>R008</t>
  </si>
  <si>
    <t>Présenter Fabric comme tendance stratégique, sans en faire le cœur du dashboard.</t>
  </si>
  <si>
    <t>Démontrer une veille actuelle et proportionnée.</t>
  </si>
  <si>
    <t>R009</t>
  </si>
  <si>
    <t>Formuler les titres des visuels comme des messages décisionnels.</t>
  </si>
  <si>
    <t>Rendre le dashboard utile à un décideur.</t>
  </si>
  <si>
    <t>R010</t>
  </si>
  <si>
    <t>Conserver les liens sources dans le modèle Power BI.</t>
  </si>
  <si>
    <t>Assurer traçabilité et crédibilité.</t>
  </si>
  <si>
    <t>Modèle Power BI recommandé</t>
  </si>
  <si>
    <t>Table</t>
  </si>
  <si>
    <t>Relation</t>
  </si>
  <si>
    <t>Cardinalité</t>
  </si>
  <si>
    <t>Utilisation</t>
  </si>
  <si>
    <t>Sources</t>
  </si>
  <si>
    <t>Sources[Source_ID] → Veille[Source_ID]</t>
  </si>
  <si>
    <t>1 → n</t>
  </si>
  <si>
    <t>Filtrer les observations par source.</t>
  </si>
  <si>
    <t>Thematiques</t>
  </si>
  <si>
    <t>Thematiques[Thematique] → Veille[Thematique]</t>
  </si>
  <si>
    <t>Filtrer et classer les sujets de veille.</t>
  </si>
  <si>
    <t>Table de faits principale</t>
  </si>
  <si>
    <t>n</t>
  </si>
  <si>
    <t>KPI, matrice impact/maturité, histogrammes.</t>
  </si>
  <si>
    <t>Recommandations</t>
  </si>
  <si>
    <t>Recommandations[Thematique] → Thematiques[Thematique]</t>
  </si>
  <si>
    <t>n → 1</t>
  </si>
  <si>
    <t>Actions à lancer et priorisation.</t>
  </si>
  <si>
    <t>Date</t>
  </si>
  <si>
    <t>Optionnel</t>
  </si>
  <si>
    <t>À créer dans Power BI si besoin d’analyse temporelle.</t>
  </si>
  <si>
    <t>Mesure</t>
  </si>
  <si>
    <t>Formule DAX</t>
  </si>
  <si>
    <t>Zone dashboard</t>
  </si>
  <si>
    <t>Visuel Power BI</t>
  </si>
  <si>
    <t>Champs à utiliser</t>
  </si>
  <si>
    <t>But</t>
  </si>
  <si>
    <t>Nb sources</t>
  </si>
  <si>
    <t>DISTINCTCOUNT(Sources[Source_ID])</t>
  </si>
  <si>
    <t>KPI</t>
  </si>
  <si>
    <t>Cartes</t>
  </si>
  <si>
    <t>Nb sources, Nb thématiques, Nb alertes prioritaires, Nb recommandations</t>
  </si>
  <si>
    <t>Vue immédiate de la veille.</t>
  </si>
  <si>
    <t>Nb sujets veille</t>
  </si>
  <si>
    <t>COUNTROWS(Veille)</t>
  </si>
  <si>
    <t>Impact &amp; maturité</t>
  </si>
  <si>
    <t>Nuage de points</t>
  </si>
  <si>
    <t>X=Maturite, Y=Impact_metier, taille=Score_priorite, légende=Thematique</t>
  </si>
  <si>
    <t>Prioriser les sujets.</t>
  </si>
  <si>
    <t>Nb thématiques</t>
  </si>
  <si>
    <t>DISTINCTCOUNT(Veille[Thematique])</t>
  </si>
  <si>
    <t>Sources &amp; thématiques</t>
  </si>
  <si>
    <t>Barres horizontales</t>
  </si>
  <si>
    <t>Type_source ou Thematique + nombre de lignes</t>
  </si>
  <si>
    <t>Montrer la couverture de veille.</t>
  </si>
  <si>
    <t>Nb alertes prioritaires</t>
  </si>
  <si>
    <t>CALCULATE(COUNTROWS(Veille), Veille[Urgence] = "Haute")</t>
  </si>
  <si>
    <t>Table ou carte multi-lignes</t>
  </si>
  <si>
    <t>Recommandation, Impact, Effort, Priorite</t>
  </si>
  <si>
    <t>Transformer l’observation en actions.</t>
  </si>
  <si>
    <t>Score moyen impact</t>
  </si>
  <si>
    <t>AVERAGE(Veille[Impact_metier])</t>
  </si>
  <si>
    <t>Filtres</t>
  </si>
  <si>
    <t>Segments</t>
  </si>
  <si>
    <t>Thematique, Urgence, Statut, Frequence_suivi</t>
  </si>
  <si>
    <t>Permettre la lecture ciblée.</t>
  </si>
  <si>
    <t>Score moyen maturité</t>
  </si>
  <si>
    <t>AVERAGE(Veille[Maturite])</t>
  </si>
  <si>
    <t>Nb recommandations</t>
  </si>
  <si>
    <t>COUNTROWS(Recommandations)</t>
  </si>
  <si>
    <t>Nb recommandations priorité 1</t>
  </si>
  <si>
    <t>CALCULATE(COUNTROWS(Recommandations), Recommandations[Priorite] = 1)</t>
  </si>
  <si>
    <t>Contrôle rapide du fichier source</t>
  </si>
  <si>
    <t>Contrôle</t>
  </si>
  <si>
    <t>Formule</t>
  </si>
  <si>
    <t>Nombre de sources</t>
  </si>
  <si>
    <t>15</t>
  </si>
  <si>
    <t>Nombre d’entrées de veille</t>
  </si>
  <si>
    <t>32</t>
  </si>
  <si>
    <t>Nombre de thématiques</t>
  </si>
  <si>
    <t>8</t>
  </si>
  <si>
    <t>Nombre de recommandations</t>
  </si>
  <si>
    <t>10</t>
  </si>
  <si>
    <t>Alertes haute urgence</t>
  </si>
  <si>
    <t>&gt;= 8</t>
  </si>
  <si>
    <t>Lignes sans Source_ID</t>
  </si>
  <si>
    <t>0</t>
  </si>
  <si>
    <t>Lignes sans recommandation</t>
  </si>
  <si>
    <t>Entre 3 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</si>
</sst>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1"/>
      <color rgb="FF172554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EFF6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7" xfId="0" applyNumberFormat="1" applyBorder="1"/>
    <xf numFmtId="14" fontId="0" fillId="0" borderId="0" xfId="0" applyNumberFormat="1"/>
    <xf numFmtId="14" fontId="0" fillId="0" borderId="8" xfId="0" applyNumberFormat="1" applyBorder="1"/>
    <xf numFmtId="1" fontId="0" fillId="0" borderId="7" xfId="0" applyNumberFormat="1" applyBorder="1"/>
    <xf numFmtId="1" fontId="0" fillId="0" borderId="0" xfId="0" applyNumberFormat="1"/>
    <xf numFmtId="1" fontId="0" fillId="0" borderId="8" xfId="0" applyNumberFormat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Data" displayName="SourcesData" ref="A1:J16">
  <tableColumns count="10">
    <tableColumn id="1" xr3:uid="{00000000-0010-0000-0000-000001000000}" name="Source_ID"/>
    <tableColumn id="2" xr3:uid="{00000000-0010-0000-0000-000002000000}" name="Nom_source"/>
    <tableColumn id="3" xr3:uid="{00000000-0010-0000-0000-000003000000}" name="Type_source"/>
    <tableColumn id="4" xr3:uid="{00000000-0010-0000-0000-000004000000}" name="Organisme"/>
    <tableColumn id="5" xr3:uid="{00000000-0010-0000-0000-000005000000}" name="URL"/>
    <tableColumn id="6" xr3:uid="{00000000-0010-0000-0000-000006000000}" name="Langue"/>
    <tableColumn id="7" xr3:uid="{00000000-0010-0000-0000-000007000000}" name="Fiabilite"/>
    <tableColumn id="8" xr3:uid="{00000000-0010-0000-0000-000008000000}" name="Frequence_suivi"/>
    <tableColumn id="9" xr3:uid="{00000000-0010-0000-0000-000009000000}" name="Thematique_principale"/>
    <tableColumn id="10" xr3:uid="{00000000-0010-0000-0000-00000A000000}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ematiquesData" displayName="ThematiquesData" ref="A1:F9">
  <tableColumns count="6">
    <tableColumn id="1" xr3:uid="{00000000-0010-0000-0100-000001000000}" name="Thematique"/>
    <tableColumn id="2" xr3:uid="{00000000-0010-0000-0100-000002000000}" name="Domaine"/>
    <tableColumn id="3" xr3:uid="{00000000-0010-0000-0100-000003000000}" name="Description"/>
    <tableColumn id="4" xr3:uid="{00000000-0010-0000-0100-000004000000}" name="Priorite"/>
    <tableColumn id="5" xr3:uid="{00000000-0010-0000-0100-000005000000}" name="Couleur_indicative"/>
    <tableColumn id="6" xr3:uid="{00000000-0010-0000-0100-000006000000}" name="Exemple_usage_dashbo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illeData" displayName="VeilleData" ref="A1:R33">
  <tableColumns count="18">
    <tableColumn id="1" xr3:uid="{00000000-0010-0000-0200-000001000000}" name="Veille_ID"/>
    <tableColumn id="2" xr3:uid="{00000000-0010-0000-0200-000002000000}" name="Date_observation"/>
    <tableColumn id="3" xr3:uid="{00000000-0010-0000-0200-000003000000}" name="Titre"/>
    <tableColumn id="4" xr3:uid="{00000000-0010-0000-0200-000004000000}" name="Source_ID"/>
    <tableColumn id="5" xr3:uid="{00000000-0010-0000-0200-000005000000}" name="Thematique"/>
    <tableColumn id="6" xr3:uid="{00000000-0010-0000-0200-000006000000}" name="Sous_thematique"/>
    <tableColumn id="7" xr3:uid="{00000000-0010-0000-0200-000007000000}" name="Resume"/>
    <tableColumn id="8" xr3:uid="{00000000-0010-0000-0200-000008000000}" name="Impact_metier"/>
    <tableColumn id="9" xr3:uid="{00000000-0010-0000-0200-000009000000}" name="Maturite"/>
    <tableColumn id="10" xr3:uid="{00000000-0010-0000-0200-00000A000000}" name="Urgence"/>
    <tableColumn id="11" xr3:uid="{00000000-0010-0000-0200-00000B000000}" name="Urgence_score"/>
    <tableColumn id="12" xr3:uid="{00000000-0010-0000-0200-00000C000000}" name="Pertinence_Aeroworld"/>
    <tableColumn id="13" xr3:uid="{00000000-0010-0000-0200-00000D000000}" name="Pertinence_portfolio"/>
    <tableColumn id="14" xr3:uid="{00000000-0010-0000-0200-00000E000000}" name="Statut"/>
    <tableColumn id="15" xr3:uid="{00000000-0010-0000-0200-00000F000000}" name="Recommandation"/>
    <tableColumn id="16" xr3:uid="{00000000-0010-0000-0200-000010000000}" name="Lien_source"/>
    <tableColumn id="17" xr3:uid="{00000000-0010-0000-0200-000011000000}" name="Score_priorite"/>
    <tableColumn id="18" xr3:uid="{00000000-0010-0000-0200-000012000000}" name="Action_ci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ommandationsData" displayName="RecommandationsData" ref="A1:J11">
  <tableColumns count="10">
    <tableColumn id="1" xr3:uid="{00000000-0010-0000-0300-000001000000}" name="Reco_ID"/>
    <tableColumn id="2" xr3:uid="{00000000-0010-0000-0300-000002000000}" name="Thematique"/>
    <tableColumn id="3" xr3:uid="{00000000-0010-0000-0300-000003000000}" name="Recommandation"/>
    <tableColumn id="4" xr3:uid="{00000000-0010-0000-0300-000004000000}" name="Benefice_attendu"/>
    <tableColumn id="5" xr3:uid="{00000000-0010-0000-0300-000005000000}" name="Effort"/>
    <tableColumn id="6" xr3:uid="{00000000-0010-0000-0300-000006000000}" name="Impact"/>
    <tableColumn id="7" xr3:uid="{00000000-0010-0000-0300-000007000000}" name="Priorite"/>
    <tableColumn id="8" xr3:uid="{00000000-0010-0000-0300-000008000000}" name="Echeance"/>
    <tableColumn id="9" xr3:uid="{00000000-0010-0000-0300-000009000000}" name="Statut"/>
    <tableColumn id="10" xr3:uid="{00000000-0010-0000-0300-00000A000000}" name="Lien_vei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sqref="A1:H2"/>
    </sheetView>
  </sheetViews>
  <sheetFormatPr baseColWidth="10" defaultColWidth="8.796875" defaultRowHeight="13.8"/>
  <cols>
    <col min="1" max="1" width="14" customWidth="1"/>
    <col min="2" max="2" width="38" customWidth="1"/>
    <col min="3" max="3" width="54" customWidth="1"/>
    <col min="4" max="4" width="38" customWidth="1"/>
  </cols>
  <sheetData>
    <row r="1" spans="1:8" ht="22.35" customHeight="1">
      <c r="A1" s="16" t="s">
        <v>0</v>
      </c>
      <c r="B1" s="16"/>
      <c r="C1" s="16"/>
      <c r="D1" s="16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>
      <c r="A3" s="18" t="s">
        <v>1</v>
      </c>
      <c r="B3" s="18"/>
      <c r="C3" s="18"/>
      <c r="D3" s="18"/>
      <c r="E3" s="18"/>
      <c r="F3" s="18"/>
      <c r="G3" s="18"/>
      <c r="H3" s="18"/>
    </row>
    <row r="5" spans="1:8">
      <c r="A5" s="1" t="s">
        <v>2</v>
      </c>
      <c r="B5" s="1" t="s">
        <v>3</v>
      </c>
    </row>
    <row r="6" spans="1:8">
      <c r="A6" s="2" t="s">
        <v>4</v>
      </c>
      <c r="B6" s="3" t="s">
        <v>5</v>
      </c>
    </row>
    <row r="7" spans="1:8">
      <c r="A7" s="4" t="s">
        <v>6</v>
      </c>
      <c r="B7" s="5" t="s">
        <v>7</v>
      </c>
    </row>
    <row r="8" spans="1:8">
      <c r="A8" s="4" t="s">
        <v>8</v>
      </c>
      <c r="B8" s="5" t="s">
        <v>9</v>
      </c>
    </row>
    <row r="9" spans="1:8">
      <c r="A9" s="4" t="s">
        <v>10</v>
      </c>
      <c r="B9" s="5" t="s">
        <v>11</v>
      </c>
    </row>
    <row r="10" spans="1:8">
      <c r="A10" s="6" t="s">
        <v>12</v>
      </c>
      <c r="B10" s="7" t="s">
        <v>13</v>
      </c>
    </row>
    <row r="12" spans="1:8">
      <c r="A12" s="1" t="s">
        <v>14</v>
      </c>
      <c r="B12" s="1" t="s">
        <v>15</v>
      </c>
      <c r="C12" s="1" t="s">
        <v>16</v>
      </c>
      <c r="D12" s="1" t="s">
        <v>17</v>
      </c>
    </row>
    <row r="13" spans="1:8">
      <c r="A13" s="2" t="s">
        <v>18</v>
      </c>
      <c r="B13" s="8" t="s">
        <v>19</v>
      </c>
      <c r="C13" s="8" t="s">
        <v>20</v>
      </c>
      <c r="D13" s="3" t="s">
        <v>21</v>
      </c>
    </row>
    <row r="14" spans="1:8">
      <c r="A14" s="4" t="s">
        <v>22</v>
      </c>
      <c r="B14" t="s">
        <v>23</v>
      </c>
      <c r="C14" t="s">
        <v>24</v>
      </c>
      <c r="D14" s="5" t="s">
        <v>25</v>
      </c>
    </row>
    <row r="15" spans="1:8">
      <c r="A15" s="4" t="s">
        <v>26</v>
      </c>
      <c r="B15" t="s">
        <v>27</v>
      </c>
      <c r="C15" t="s">
        <v>28</v>
      </c>
      <c r="D15" s="5" t="s">
        <v>29</v>
      </c>
    </row>
    <row r="16" spans="1:8">
      <c r="A16" s="4" t="s">
        <v>30</v>
      </c>
      <c r="B16" t="s">
        <v>31</v>
      </c>
      <c r="C16" t="s">
        <v>32</v>
      </c>
      <c r="D16" s="5" t="s">
        <v>33</v>
      </c>
    </row>
    <row r="17" spans="1:4">
      <c r="A17" s="4" t="s">
        <v>34</v>
      </c>
      <c r="B17" t="s">
        <v>35</v>
      </c>
      <c r="C17" t="s">
        <v>36</v>
      </c>
      <c r="D17" s="5" t="s">
        <v>37</v>
      </c>
    </row>
    <row r="18" spans="1:4">
      <c r="A18" s="4" t="s">
        <v>38</v>
      </c>
      <c r="B18" t="s">
        <v>39</v>
      </c>
      <c r="C18" t="s">
        <v>40</v>
      </c>
      <c r="D18" s="5" t="s">
        <v>41</v>
      </c>
    </row>
    <row r="19" spans="1:4">
      <c r="A19" s="6" t="s">
        <v>42</v>
      </c>
      <c r="B19" s="9" t="s">
        <v>43</v>
      </c>
      <c r="C19" s="9" t="s">
        <v>44</v>
      </c>
      <c r="D19" s="7" t="s">
        <v>45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opLeftCell="D1" workbookViewId="0"/>
  </sheetViews>
  <sheetFormatPr baseColWidth="10" defaultColWidth="8.796875" defaultRowHeight="13.8"/>
  <cols>
    <col min="1" max="1" width="10" customWidth="1"/>
    <col min="2" max="2" width="28" customWidth="1"/>
    <col min="3" max="3" width="22" customWidth="1"/>
    <col min="4" max="4" width="24" customWidth="1"/>
    <col min="5" max="5" width="55" customWidth="1"/>
    <col min="6" max="6" width="8" customWidth="1"/>
    <col min="7" max="7" width="10" customWidth="1"/>
    <col min="8" max="8" width="16" customWidth="1"/>
    <col min="9" max="9" width="24" customWidth="1"/>
    <col min="10" max="10" width="58.5" bestFit="1" customWidth="1"/>
  </cols>
  <sheetData>
    <row r="1" spans="1:10" ht="22.35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s="2" t="s">
        <v>56</v>
      </c>
      <c r="B2" s="8" t="s">
        <v>57</v>
      </c>
      <c r="C2" s="8" t="s">
        <v>58</v>
      </c>
      <c r="D2" s="8" t="s">
        <v>59</v>
      </c>
      <c r="E2" s="8" t="s">
        <v>60</v>
      </c>
      <c r="F2" s="8" t="s">
        <v>61</v>
      </c>
      <c r="G2" s="8" t="s">
        <v>62</v>
      </c>
      <c r="H2" s="8" t="s">
        <v>63</v>
      </c>
      <c r="I2" s="8" t="s">
        <v>64</v>
      </c>
      <c r="J2" s="3" t="s">
        <v>65</v>
      </c>
    </row>
    <row r="3" spans="1:10">
      <c r="A3" s="4" t="s">
        <v>66</v>
      </c>
      <c r="B3" t="s">
        <v>67</v>
      </c>
      <c r="C3" t="s">
        <v>58</v>
      </c>
      <c r="D3" t="s">
        <v>59</v>
      </c>
      <c r="E3" t="s">
        <v>68</v>
      </c>
      <c r="F3" t="s">
        <v>69</v>
      </c>
      <c r="G3" t="s">
        <v>62</v>
      </c>
      <c r="H3" t="s">
        <v>63</v>
      </c>
      <c r="I3" t="s">
        <v>64</v>
      </c>
      <c r="J3" s="5" t="s">
        <v>70</v>
      </c>
    </row>
    <row r="4" spans="1:10">
      <c r="A4" s="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69</v>
      </c>
      <c r="G4" t="s">
        <v>62</v>
      </c>
      <c r="H4" t="s">
        <v>63</v>
      </c>
      <c r="I4" t="s">
        <v>64</v>
      </c>
      <c r="J4" s="5" t="s">
        <v>76</v>
      </c>
    </row>
    <row r="5" spans="1:10">
      <c r="A5" s="4" t="s">
        <v>77</v>
      </c>
      <c r="B5" t="s">
        <v>78</v>
      </c>
      <c r="C5" t="s">
        <v>73</v>
      </c>
      <c r="D5" t="s">
        <v>79</v>
      </c>
      <c r="E5" t="s">
        <v>80</v>
      </c>
      <c r="F5" t="s">
        <v>69</v>
      </c>
      <c r="G5" t="s">
        <v>62</v>
      </c>
      <c r="H5" t="s">
        <v>63</v>
      </c>
      <c r="I5" t="s">
        <v>81</v>
      </c>
      <c r="J5" s="5" t="s">
        <v>82</v>
      </c>
    </row>
    <row r="6" spans="1:10">
      <c r="A6" s="4" t="s">
        <v>83</v>
      </c>
      <c r="B6" t="s">
        <v>84</v>
      </c>
      <c r="C6" t="s">
        <v>58</v>
      </c>
      <c r="D6" t="s">
        <v>59</v>
      </c>
      <c r="E6" t="s">
        <v>85</v>
      </c>
      <c r="F6" t="s">
        <v>69</v>
      </c>
      <c r="G6" t="s">
        <v>62</v>
      </c>
      <c r="H6" t="s">
        <v>63</v>
      </c>
      <c r="I6" t="s">
        <v>81</v>
      </c>
      <c r="J6" s="5" t="s">
        <v>86</v>
      </c>
    </row>
    <row r="7" spans="1:10">
      <c r="A7" s="4" t="s">
        <v>87</v>
      </c>
      <c r="B7" t="s">
        <v>88</v>
      </c>
      <c r="C7" t="s">
        <v>89</v>
      </c>
      <c r="D7" t="s">
        <v>79</v>
      </c>
      <c r="E7" t="s">
        <v>90</v>
      </c>
      <c r="F7" t="s">
        <v>61</v>
      </c>
      <c r="G7" t="s">
        <v>62</v>
      </c>
      <c r="H7" t="s">
        <v>91</v>
      </c>
      <c r="I7" t="s">
        <v>92</v>
      </c>
      <c r="J7" s="5" t="s">
        <v>93</v>
      </c>
    </row>
    <row r="8" spans="1:10">
      <c r="A8" s="4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69</v>
      </c>
      <c r="G8" t="s">
        <v>62</v>
      </c>
      <c r="H8" t="s">
        <v>63</v>
      </c>
      <c r="I8" t="s">
        <v>99</v>
      </c>
      <c r="J8" s="5" t="s">
        <v>100</v>
      </c>
    </row>
    <row r="9" spans="1:10">
      <c r="A9" s="4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69</v>
      </c>
      <c r="G9" t="s">
        <v>62</v>
      </c>
      <c r="H9" t="s">
        <v>63</v>
      </c>
      <c r="I9" t="s">
        <v>106</v>
      </c>
      <c r="J9" s="5" t="s">
        <v>107</v>
      </c>
    </row>
    <row r="10" spans="1:10">
      <c r="A10" s="4" t="s">
        <v>108</v>
      </c>
      <c r="B10" t="s">
        <v>109</v>
      </c>
      <c r="C10" t="s">
        <v>103</v>
      </c>
      <c r="D10" t="s">
        <v>104</v>
      </c>
      <c r="E10" t="s">
        <v>110</v>
      </c>
      <c r="F10" t="s">
        <v>69</v>
      </c>
      <c r="G10" t="s">
        <v>62</v>
      </c>
      <c r="H10" t="s">
        <v>91</v>
      </c>
      <c r="I10" t="s">
        <v>111</v>
      </c>
      <c r="J10" s="5" t="s">
        <v>112</v>
      </c>
    </row>
    <row r="11" spans="1:10">
      <c r="A11" s="4" t="s">
        <v>113</v>
      </c>
      <c r="B11" t="s">
        <v>114</v>
      </c>
      <c r="C11" t="s">
        <v>103</v>
      </c>
      <c r="D11" t="s">
        <v>115</v>
      </c>
      <c r="E11" t="s">
        <v>116</v>
      </c>
      <c r="F11" t="s">
        <v>69</v>
      </c>
      <c r="G11" t="s">
        <v>62</v>
      </c>
      <c r="H11" t="s">
        <v>91</v>
      </c>
      <c r="I11" t="s">
        <v>117</v>
      </c>
      <c r="J11" s="5" t="s">
        <v>118</v>
      </c>
    </row>
    <row r="12" spans="1:10">
      <c r="A12" s="4" t="s">
        <v>119</v>
      </c>
      <c r="B12" t="s">
        <v>120</v>
      </c>
      <c r="C12" t="s">
        <v>103</v>
      </c>
      <c r="D12" t="s">
        <v>104</v>
      </c>
      <c r="E12" t="s">
        <v>121</v>
      </c>
      <c r="F12" t="s">
        <v>69</v>
      </c>
      <c r="G12" t="s">
        <v>62</v>
      </c>
      <c r="H12" t="s">
        <v>91</v>
      </c>
      <c r="I12" t="s">
        <v>122</v>
      </c>
      <c r="J12" s="5" t="s">
        <v>123</v>
      </c>
    </row>
    <row r="13" spans="1:10">
      <c r="A13" s="4" t="s">
        <v>124</v>
      </c>
      <c r="B13" t="s">
        <v>125</v>
      </c>
      <c r="C13" t="s">
        <v>73</v>
      </c>
      <c r="D13" t="s">
        <v>126</v>
      </c>
      <c r="E13" t="s">
        <v>127</v>
      </c>
      <c r="F13" t="s">
        <v>69</v>
      </c>
      <c r="G13" t="s">
        <v>128</v>
      </c>
      <c r="H13" t="s">
        <v>63</v>
      </c>
      <c r="I13" t="s">
        <v>129</v>
      </c>
      <c r="J13" s="5" t="s">
        <v>130</v>
      </c>
    </row>
    <row r="14" spans="1:10">
      <c r="A14" s="4" t="s">
        <v>131</v>
      </c>
      <c r="B14" t="s">
        <v>132</v>
      </c>
      <c r="C14" t="s">
        <v>73</v>
      </c>
      <c r="D14" t="s">
        <v>133</v>
      </c>
      <c r="E14" t="s">
        <v>134</v>
      </c>
      <c r="F14" t="s">
        <v>69</v>
      </c>
      <c r="G14" t="s">
        <v>128</v>
      </c>
      <c r="H14" t="s">
        <v>63</v>
      </c>
      <c r="I14" t="s">
        <v>135</v>
      </c>
      <c r="J14" s="5" t="s">
        <v>136</v>
      </c>
    </row>
    <row r="15" spans="1:10">
      <c r="A15" s="4" t="s">
        <v>137</v>
      </c>
      <c r="B15" t="s">
        <v>138</v>
      </c>
      <c r="C15" t="s">
        <v>73</v>
      </c>
      <c r="D15" t="s">
        <v>139</v>
      </c>
      <c r="E15" t="s">
        <v>140</v>
      </c>
      <c r="F15" t="s">
        <v>69</v>
      </c>
      <c r="G15" t="s">
        <v>128</v>
      </c>
      <c r="H15" t="s">
        <v>63</v>
      </c>
      <c r="I15" t="s">
        <v>141</v>
      </c>
      <c r="J15" s="5" t="s">
        <v>142</v>
      </c>
    </row>
    <row r="16" spans="1:10">
      <c r="A16" s="6" t="s">
        <v>143</v>
      </c>
      <c r="B16" s="9" t="s">
        <v>144</v>
      </c>
      <c r="C16" s="9" t="s">
        <v>145</v>
      </c>
      <c r="D16" s="9" t="s">
        <v>146</v>
      </c>
      <c r="E16" s="9" t="s">
        <v>147</v>
      </c>
      <c r="F16" s="9" t="s">
        <v>69</v>
      </c>
      <c r="G16" s="9" t="s">
        <v>128</v>
      </c>
      <c r="H16" s="9" t="s">
        <v>91</v>
      </c>
      <c r="I16" s="9" t="s">
        <v>148</v>
      </c>
      <c r="J16" s="7" t="s">
        <v>149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796875" defaultRowHeight="13.8"/>
  <cols>
    <col min="1" max="2" width="24" customWidth="1"/>
    <col min="3" max="3" width="58" customWidth="1"/>
    <col min="4" max="4" width="12" customWidth="1"/>
    <col min="5" max="5" width="16" customWidth="1"/>
    <col min="6" max="6" width="54.796875" bestFit="1" customWidth="1"/>
  </cols>
  <sheetData>
    <row r="1" spans="1:6" ht="22.35" customHeight="1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</row>
    <row r="2" spans="1:6">
      <c r="A2" s="2" t="s">
        <v>64</v>
      </c>
      <c r="B2" s="8" t="s">
        <v>156</v>
      </c>
      <c r="C2" s="8" t="s">
        <v>157</v>
      </c>
      <c r="D2" s="8" t="s">
        <v>62</v>
      </c>
      <c r="E2" s="8" t="s">
        <v>158</v>
      </c>
      <c r="F2" s="3" t="s">
        <v>159</v>
      </c>
    </row>
    <row r="3" spans="1:6">
      <c r="A3" s="4" t="s">
        <v>81</v>
      </c>
      <c r="B3" t="s">
        <v>160</v>
      </c>
      <c r="C3" t="s">
        <v>161</v>
      </c>
      <c r="D3" t="s">
        <v>128</v>
      </c>
      <c r="E3" t="s">
        <v>162</v>
      </c>
      <c r="F3" s="5" t="s">
        <v>163</v>
      </c>
    </row>
    <row r="4" spans="1:6">
      <c r="A4" s="4" t="s">
        <v>164</v>
      </c>
      <c r="B4" t="s">
        <v>165</v>
      </c>
      <c r="C4" t="s">
        <v>166</v>
      </c>
      <c r="D4" t="s">
        <v>62</v>
      </c>
      <c r="E4" t="s">
        <v>167</v>
      </c>
      <c r="F4" s="5" t="s">
        <v>168</v>
      </c>
    </row>
    <row r="5" spans="1:6">
      <c r="A5" s="4" t="s">
        <v>169</v>
      </c>
      <c r="B5" t="s">
        <v>170</v>
      </c>
      <c r="C5" t="s">
        <v>171</v>
      </c>
      <c r="D5" t="s">
        <v>62</v>
      </c>
      <c r="E5" t="s">
        <v>172</v>
      </c>
      <c r="F5" s="5" t="s">
        <v>173</v>
      </c>
    </row>
    <row r="6" spans="1:6">
      <c r="A6" s="4" t="s">
        <v>174</v>
      </c>
      <c r="B6" t="s">
        <v>175</v>
      </c>
      <c r="C6" t="s">
        <v>176</v>
      </c>
      <c r="D6" t="s">
        <v>62</v>
      </c>
      <c r="E6" t="s">
        <v>177</v>
      </c>
      <c r="F6" s="5" t="s">
        <v>178</v>
      </c>
    </row>
    <row r="7" spans="1:6">
      <c r="A7" s="4" t="s">
        <v>92</v>
      </c>
      <c r="B7" t="s">
        <v>179</v>
      </c>
      <c r="C7" t="s">
        <v>180</v>
      </c>
      <c r="D7" t="s">
        <v>128</v>
      </c>
      <c r="E7" t="s">
        <v>181</v>
      </c>
      <c r="F7" s="5" t="s">
        <v>182</v>
      </c>
    </row>
    <row r="8" spans="1:6">
      <c r="A8" s="4" t="s">
        <v>183</v>
      </c>
      <c r="B8" t="s">
        <v>184</v>
      </c>
      <c r="C8" t="s">
        <v>185</v>
      </c>
      <c r="D8" t="s">
        <v>128</v>
      </c>
      <c r="E8" t="s">
        <v>186</v>
      </c>
      <c r="F8" s="5" t="s">
        <v>187</v>
      </c>
    </row>
    <row r="9" spans="1:6">
      <c r="A9" s="6" t="s">
        <v>188</v>
      </c>
      <c r="B9" s="9" t="s">
        <v>189</v>
      </c>
      <c r="C9" s="9" t="s">
        <v>190</v>
      </c>
      <c r="D9" s="9" t="s">
        <v>62</v>
      </c>
      <c r="E9" s="9" t="s">
        <v>191</v>
      </c>
      <c r="F9" s="7" t="s">
        <v>192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3"/>
  <sheetViews>
    <sheetView topLeftCell="L1" workbookViewId="0"/>
  </sheetViews>
  <sheetFormatPr baseColWidth="10" defaultColWidth="8.796875" defaultRowHeight="13.8"/>
  <cols>
    <col min="1" max="1" width="10" customWidth="1"/>
    <col min="2" max="2" width="14" customWidth="1"/>
    <col min="3" max="3" width="36" customWidth="1"/>
    <col min="4" max="4" width="10" customWidth="1"/>
    <col min="5" max="6" width="22" customWidth="1"/>
    <col min="7" max="7" width="60" customWidth="1"/>
    <col min="8" max="8" width="12" customWidth="1"/>
    <col min="9" max="9" width="10" customWidth="1"/>
    <col min="10" max="10" width="12" customWidth="1"/>
    <col min="11" max="11" width="13" customWidth="1"/>
    <col min="12" max="13" width="18" customWidth="1"/>
    <col min="14" max="14" width="16" customWidth="1"/>
    <col min="15" max="15" width="58" customWidth="1"/>
    <col min="16" max="16" width="48" customWidth="1"/>
    <col min="17" max="17" width="14" customWidth="1"/>
    <col min="18" max="18" width="18" customWidth="1"/>
  </cols>
  <sheetData>
    <row r="1" spans="1:18" ht="22.35" customHeight="1">
      <c r="A1" s="1" t="s">
        <v>193</v>
      </c>
      <c r="B1" s="1" t="s">
        <v>194</v>
      </c>
      <c r="C1" s="1" t="s">
        <v>195</v>
      </c>
      <c r="D1" s="1" t="s">
        <v>46</v>
      </c>
      <c r="E1" s="1" t="s">
        <v>150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</row>
    <row r="2" spans="1:18">
      <c r="A2" s="2" t="s">
        <v>209</v>
      </c>
      <c r="B2" s="10">
        <v>46193</v>
      </c>
      <c r="C2" s="8" t="s">
        <v>210</v>
      </c>
      <c r="D2" s="8" t="s">
        <v>66</v>
      </c>
      <c r="E2" s="8" t="s">
        <v>64</v>
      </c>
      <c r="F2" s="8" t="s">
        <v>211</v>
      </c>
      <c r="G2" s="8" t="s">
        <v>212</v>
      </c>
      <c r="H2" s="13">
        <v>4</v>
      </c>
      <c r="I2" s="13">
        <v>5</v>
      </c>
      <c r="J2" s="8" t="s">
        <v>128</v>
      </c>
      <c r="K2" s="13">
        <v>2</v>
      </c>
      <c r="L2" s="8" t="s">
        <v>213</v>
      </c>
      <c r="M2" s="8" t="s">
        <v>213</v>
      </c>
      <c r="N2" s="8" t="s">
        <v>214</v>
      </c>
      <c r="O2" s="8" t="s">
        <v>215</v>
      </c>
      <c r="P2" s="8" t="s">
        <v>68</v>
      </c>
      <c r="Q2" s="13">
        <f t="shared" ref="Q2:Q33" si="0">H2*K2+I2</f>
        <v>13</v>
      </c>
      <c r="R2" s="3" t="s">
        <v>216</v>
      </c>
    </row>
    <row r="3" spans="1:18">
      <c r="A3" s="4" t="s">
        <v>217</v>
      </c>
      <c r="B3" s="11">
        <v>46193</v>
      </c>
      <c r="C3" t="s">
        <v>218</v>
      </c>
      <c r="D3" t="s">
        <v>56</v>
      </c>
      <c r="E3" t="s">
        <v>64</v>
      </c>
      <c r="F3" t="s">
        <v>219</v>
      </c>
      <c r="G3" t="s">
        <v>220</v>
      </c>
      <c r="H3" s="14">
        <v>5</v>
      </c>
      <c r="I3" s="14">
        <v>5</v>
      </c>
      <c r="J3" t="s">
        <v>62</v>
      </c>
      <c r="K3" s="14">
        <v>3</v>
      </c>
      <c r="L3" t="s">
        <v>213</v>
      </c>
      <c r="M3" t="s">
        <v>213</v>
      </c>
      <c r="N3" t="s">
        <v>221</v>
      </c>
      <c r="O3" t="s">
        <v>222</v>
      </c>
      <c r="P3" t="s">
        <v>60</v>
      </c>
      <c r="Q3" s="14">
        <f t="shared" si="0"/>
        <v>20</v>
      </c>
      <c r="R3" s="5" t="s">
        <v>219</v>
      </c>
    </row>
    <row r="4" spans="1:18">
      <c r="A4" s="4" t="s">
        <v>223</v>
      </c>
      <c r="B4" s="11">
        <v>46194</v>
      </c>
      <c r="C4" t="s">
        <v>224</v>
      </c>
      <c r="D4" t="s">
        <v>87</v>
      </c>
      <c r="E4" t="s">
        <v>92</v>
      </c>
      <c r="F4" t="s">
        <v>179</v>
      </c>
      <c r="G4" t="s">
        <v>225</v>
      </c>
      <c r="H4" s="14">
        <v>4</v>
      </c>
      <c r="I4" s="14">
        <v>4</v>
      </c>
      <c r="J4" t="s">
        <v>128</v>
      </c>
      <c r="K4" s="14">
        <v>2</v>
      </c>
      <c r="L4" t="s">
        <v>213</v>
      </c>
      <c r="M4" t="s">
        <v>128</v>
      </c>
      <c r="N4" t="s">
        <v>226</v>
      </c>
      <c r="O4" t="s">
        <v>227</v>
      </c>
      <c r="P4" t="s">
        <v>90</v>
      </c>
      <c r="Q4" s="14">
        <f t="shared" si="0"/>
        <v>12</v>
      </c>
      <c r="R4" s="5" t="s">
        <v>228</v>
      </c>
    </row>
    <row r="5" spans="1:18">
      <c r="A5" s="4" t="s">
        <v>229</v>
      </c>
      <c r="B5" s="11">
        <v>46194</v>
      </c>
      <c r="C5" t="s">
        <v>230</v>
      </c>
      <c r="D5" t="s">
        <v>77</v>
      </c>
      <c r="E5" t="s">
        <v>81</v>
      </c>
      <c r="F5" t="s">
        <v>231</v>
      </c>
      <c r="G5" t="s">
        <v>232</v>
      </c>
      <c r="H5" s="14">
        <v>3</v>
      </c>
      <c r="I5" s="14">
        <v>3</v>
      </c>
      <c r="J5" t="s">
        <v>233</v>
      </c>
      <c r="K5" s="14">
        <v>1</v>
      </c>
      <c r="L5" t="s">
        <v>128</v>
      </c>
      <c r="M5" t="s">
        <v>128</v>
      </c>
      <c r="N5" t="s">
        <v>214</v>
      </c>
      <c r="O5" t="s">
        <v>234</v>
      </c>
      <c r="P5" t="s">
        <v>80</v>
      </c>
      <c r="Q5" s="14">
        <f t="shared" si="0"/>
        <v>6</v>
      </c>
      <c r="R5" s="5" t="s">
        <v>235</v>
      </c>
    </row>
    <row r="6" spans="1:18">
      <c r="A6" s="4" t="s">
        <v>236</v>
      </c>
      <c r="B6" s="11">
        <v>46195</v>
      </c>
      <c r="C6" t="s">
        <v>237</v>
      </c>
      <c r="D6" t="s">
        <v>137</v>
      </c>
      <c r="E6" t="s">
        <v>169</v>
      </c>
      <c r="F6" t="s">
        <v>238</v>
      </c>
      <c r="G6" t="s">
        <v>239</v>
      </c>
      <c r="H6" s="14">
        <v>5</v>
      </c>
      <c r="I6" s="14">
        <v>4</v>
      </c>
      <c r="J6" t="s">
        <v>62</v>
      </c>
      <c r="K6" s="14">
        <v>3</v>
      </c>
      <c r="L6" t="s">
        <v>213</v>
      </c>
      <c r="M6" t="s">
        <v>213</v>
      </c>
      <c r="N6" t="s">
        <v>221</v>
      </c>
      <c r="O6" t="s">
        <v>240</v>
      </c>
      <c r="P6" t="s">
        <v>140</v>
      </c>
      <c r="Q6" s="14">
        <f t="shared" si="0"/>
        <v>19</v>
      </c>
      <c r="R6" s="5" t="s">
        <v>241</v>
      </c>
    </row>
    <row r="7" spans="1:18">
      <c r="A7" s="4" t="s">
        <v>242</v>
      </c>
      <c r="B7" s="11">
        <v>46195</v>
      </c>
      <c r="C7" t="s">
        <v>243</v>
      </c>
      <c r="D7" t="s">
        <v>56</v>
      </c>
      <c r="E7" t="s">
        <v>64</v>
      </c>
      <c r="F7" t="s">
        <v>244</v>
      </c>
      <c r="G7" t="s">
        <v>245</v>
      </c>
      <c r="H7" s="14">
        <v>4</v>
      </c>
      <c r="I7" s="14">
        <v>5</v>
      </c>
      <c r="J7" t="s">
        <v>128</v>
      </c>
      <c r="K7" s="14">
        <v>2</v>
      </c>
      <c r="L7" t="s">
        <v>213</v>
      </c>
      <c r="M7" t="s">
        <v>213</v>
      </c>
      <c r="N7" t="s">
        <v>221</v>
      </c>
      <c r="O7" t="s">
        <v>246</v>
      </c>
      <c r="P7" t="s">
        <v>60</v>
      </c>
      <c r="Q7" s="14">
        <f t="shared" si="0"/>
        <v>13</v>
      </c>
      <c r="R7" s="5" t="s">
        <v>219</v>
      </c>
    </row>
    <row r="8" spans="1:18">
      <c r="A8" s="4" t="s">
        <v>247</v>
      </c>
      <c r="B8" s="11">
        <v>46196</v>
      </c>
      <c r="C8" t="s">
        <v>248</v>
      </c>
      <c r="D8" t="s">
        <v>71</v>
      </c>
      <c r="E8" t="s">
        <v>164</v>
      </c>
      <c r="F8" t="s">
        <v>249</v>
      </c>
      <c r="G8" t="s">
        <v>250</v>
      </c>
      <c r="H8" s="14">
        <v>4</v>
      </c>
      <c r="I8" s="14">
        <v>3</v>
      </c>
      <c r="J8" t="s">
        <v>128</v>
      </c>
      <c r="K8" s="14">
        <v>2</v>
      </c>
      <c r="L8" t="s">
        <v>213</v>
      </c>
      <c r="M8" t="s">
        <v>213</v>
      </c>
      <c r="N8" t="s">
        <v>214</v>
      </c>
      <c r="O8" t="s">
        <v>251</v>
      </c>
      <c r="P8" t="s">
        <v>75</v>
      </c>
      <c r="Q8" s="14">
        <f t="shared" si="0"/>
        <v>11</v>
      </c>
      <c r="R8" s="5" t="s">
        <v>235</v>
      </c>
    </row>
    <row r="9" spans="1:18">
      <c r="A9" s="4" t="s">
        <v>252</v>
      </c>
      <c r="B9" s="11">
        <v>46196</v>
      </c>
      <c r="C9" t="s">
        <v>253</v>
      </c>
      <c r="D9" t="s">
        <v>101</v>
      </c>
      <c r="E9" t="s">
        <v>188</v>
      </c>
      <c r="F9" t="s">
        <v>106</v>
      </c>
      <c r="G9" t="s">
        <v>254</v>
      </c>
      <c r="H9" s="14">
        <v>5</v>
      </c>
      <c r="I9" s="14">
        <v>4</v>
      </c>
      <c r="J9" t="s">
        <v>62</v>
      </c>
      <c r="K9" s="14">
        <v>3</v>
      </c>
      <c r="L9" t="s">
        <v>213</v>
      </c>
      <c r="M9" t="s">
        <v>213</v>
      </c>
      <c r="N9" t="s">
        <v>221</v>
      </c>
      <c r="O9" t="s">
        <v>255</v>
      </c>
      <c r="P9" t="s">
        <v>105</v>
      </c>
      <c r="Q9" s="14">
        <f t="shared" si="0"/>
        <v>19</v>
      </c>
      <c r="R9" s="5" t="s">
        <v>219</v>
      </c>
    </row>
    <row r="10" spans="1:18">
      <c r="A10" s="4" t="s">
        <v>256</v>
      </c>
      <c r="B10" s="11">
        <v>46197</v>
      </c>
      <c r="C10" t="s">
        <v>257</v>
      </c>
      <c r="D10" t="s">
        <v>113</v>
      </c>
      <c r="E10" t="s">
        <v>188</v>
      </c>
      <c r="F10" t="s">
        <v>258</v>
      </c>
      <c r="G10" t="s">
        <v>259</v>
      </c>
      <c r="H10" s="14">
        <v>4</v>
      </c>
      <c r="I10" s="14">
        <v>3</v>
      </c>
      <c r="J10" t="s">
        <v>128</v>
      </c>
      <c r="K10" s="14">
        <v>2</v>
      </c>
      <c r="L10" t="s">
        <v>213</v>
      </c>
      <c r="M10" t="s">
        <v>128</v>
      </c>
      <c r="N10" t="s">
        <v>214</v>
      </c>
      <c r="O10" t="s">
        <v>260</v>
      </c>
      <c r="P10" t="s">
        <v>116</v>
      </c>
      <c r="Q10" s="14">
        <f t="shared" si="0"/>
        <v>11</v>
      </c>
      <c r="R10" s="5" t="s">
        <v>235</v>
      </c>
    </row>
    <row r="11" spans="1:18">
      <c r="A11" s="4" t="s">
        <v>261</v>
      </c>
      <c r="B11" s="11">
        <v>46197</v>
      </c>
      <c r="C11" t="s">
        <v>262</v>
      </c>
      <c r="D11" t="s">
        <v>119</v>
      </c>
      <c r="E11" t="s">
        <v>174</v>
      </c>
      <c r="F11" t="s">
        <v>122</v>
      </c>
      <c r="G11" t="s">
        <v>263</v>
      </c>
      <c r="H11" s="14">
        <v>5</v>
      </c>
      <c r="I11" s="14">
        <v>4</v>
      </c>
      <c r="J11" t="s">
        <v>62</v>
      </c>
      <c r="K11" s="14">
        <v>3</v>
      </c>
      <c r="L11" t="s">
        <v>213</v>
      </c>
      <c r="M11" t="s">
        <v>213</v>
      </c>
      <c r="N11" t="s">
        <v>221</v>
      </c>
      <c r="O11" t="s">
        <v>264</v>
      </c>
      <c r="P11" t="s">
        <v>121</v>
      </c>
      <c r="Q11" s="14">
        <f t="shared" si="0"/>
        <v>19</v>
      </c>
      <c r="R11" s="5" t="s">
        <v>241</v>
      </c>
    </row>
    <row r="12" spans="1:18">
      <c r="A12" s="4" t="s">
        <v>265</v>
      </c>
      <c r="B12" s="11">
        <v>46198</v>
      </c>
      <c r="C12" t="s">
        <v>266</v>
      </c>
      <c r="D12" t="s">
        <v>124</v>
      </c>
      <c r="E12" t="s">
        <v>92</v>
      </c>
      <c r="F12" t="s">
        <v>267</v>
      </c>
      <c r="G12" t="s">
        <v>268</v>
      </c>
      <c r="H12" s="14">
        <v>3</v>
      </c>
      <c r="I12" s="14">
        <v>5</v>
      </c>
      <c r="J12" t="s">
        <v>233</v>
      </c>
      <c r="K12" s="14">
        <v>1</v>
      </c>
      <c r="L12" t="s">
        <v>128</v>
      </c>
      <c r="M12" t="s">
        <v>128</v>
      </c>
      <c r="N12" t="s">
        <v>269</v>
      </c>
      <c r="O12" t="s">
        <v>270</v>
      </c>
      <c r="P12" t="s">
        <v>127</v>
      </c>
      <c r="Q12" s="14">
        <f t="shared" si="0"/>
        <v>8</v>
      </c>
      <c r="R12" s="5" t="s">
        <v>216</v>
      </c>
    </row>
    <row r="13" spans="1:18">
      <c r="A13" s="4" t="s">
        <v>271</v>
      </c>
      <c r="B13" s="11">
        <v>46198</v>
      </c>
      <c r="C13" t="s">
        <v>272</v>
      </c>
      <c r="D13" t="s">
        <v>66</v>
      </c>
      <c r="E13" t="s">
        <v>64</v>
      </c>
      <c r="F13" t="s">
        <v>273</v>
      </c>
      <c r="G13" t="s">
        <v>274</v>
      </c>
      <c r="H13" s="14">
        <v>4</v>
      </c>
      <c r="I13" s="14">
        <v>4</v>
      </c>
      <c r="J13" t="s">
        <v>128</v>
      </c>
      <c r="K13" s="14">
        <v>2</v>
      </c>
      <c r="L13" t="s">
        <v>213</v>
      </c>
      <c r="M13" t="s">
        <v>128</v>
      </c>
      <c r="N13" t="s">
        <v>214</v>
      </c>
      <c r="O13" t="s">
        <v>275</v>
      </c>
      <c r="P13" t="s">
        <v>68</v>
      </c>
      <c r="Q13" s="14">
        <f t="shared" si="0"/>
        <v>12</v>
      </c>
      <c r="R13" s="5" t="s">
        <v>216</v>
      </c>
    </row>
    <row r="14" spans="1:18">
      <c r="A14" s="4" t="s">
        <v>276</v>
      </c>
      <c r="B14" s="11">
        <v>46199</v>
      </c>
      <c r="C14" t="s">
        <v>277</v>
      </c>
      <c r="D14" t="s">
        <v>137</v>
      </c>
      <c r="E14" t="s">
        <v>183</v>
      </c>
      <c r="F14" t="s">
        <v>184</v>
      </c>
      <c r="G14" t="s">
        <v>278</v>
      </c>
      <c r="H14" s="14">
        <v>3</v>
      </c>
      <c r="I14" s="14">
        <v>3</v>
      </c>
      <c r="J14" t="s">
        <v>233</v>
      </c>
      <c r="K14" s="14">
        <v>1</v>
      </c>
      <c r="L14" t="s">
        <v>128</v>
      </c>
      <c r="M14" t="s">
        <v>213</v>
      </c>
      <c r="N14" t="s">
        <v>279</v>
      </c>
      <c r="O14" t="s">
        <v>280</v>
      </c>
      <c r="P14" t="s">
        <v>140</v>
      </c>
      <c r="Q14" s="14">
        <f t="shared" si="0"/>
        <v>6</v>
      </c>
      <c r="R14" s="5" t="s">
        <v>281</v>
      </c>
    </row>
    <row r="15" spans="1:18">
      <c r="A15" s="4" t="s">
        <v>282</v>
      </c>
      <c r="B15" s="11">
        <v>46199</v>
      </c>
      <c r="C15" t="s">
        <v>283</v>
      </c>
      <c r="D15" t="s">
        <v>143</v>
      </c>
      <c r="E15" t="s">
        <v>174</v>
      </c>
      <c r="F15" t="s">
        <v>284</v>
      </c>
      <c r="G15" t="s">
        <v>285</v>
      </c>
      <c r="H15" s="14">
        <v>5</v>
      </c>
      <c r="I15" s="14">
        <v>4</v>
      </c>
      <c r="J15" t="s">
        <v>62</v>
      </c>
      <c r="K15" s="14">
        <v>3</v>
      </c>
      <c r="L15" t="s">
        <v>213</v>
      </c>
      <c r="M15" t="s">
        <v>213</v>
      </c>
      <c r="N15" t="s">
        <v>221</v>
      </c>
      <c r="O15" t="s">
        <v>286</v>
      </c>
      <c r="P15" t="s">
        <v>147</v>
      </c>
      <c r="Q15" s="14">
        <f t="shared" si="0"/>
        <v>19</v>
      </c>
      <c r="R15" s="5" t="s">
        <v>216</v>
      </c>
    </row>
    <row r="16" spans="1:18">
      <c r="A16" s="4" t="s">
        <v>287</v>
      </c>
      <c r="B16" s="11">
        <v>46200</v>
      </c>
      <c r="C16" t="s">
        <v>288</v>
      </c>
      <c r="D16" t="s">
        <v>131</v>
      </c>
      <c r="E16" t="s">
        <v>174</v>
      </c>
      <c r="F16" t="s">
        <v>289</v>
      </c>
      <c r="G16" t="s">
        <v>290</v>
      </c>
      <c r="H16" s="14">
        <v>4</v>
      </c>
      <c r="I16" s="14">
        <v>3</v>
      </c>
      <c r="J16" t="s">
        <v>128</v>
      </c>
      <c r="K16" s="14">
        <v>2</v>
      </c>
      <c r="L16" t="s">
        <v>213</v>
      </c>
      <c r="M16" t="s">
        <v>128</v>
      </c>
      <c r="N16" t="s">
        <v>214</v>
      </c>
      <c r="O16" t="s">
        <v>291</v>
      </c>
      <c r="P16" t="s">
        <v>134</v>
      </c>
      <c r="Q16" s="14">
        <f t="shared" si="0"/>
        <v>11</v>
      </c>
      <c r="R16" s="5" t="s">
        <v>235</v>
      </c>
    </row>
    <row r="17" spans="1:18">
      <c r="A17" s="4" t="s">
        <v>292</v>
      </c>
      <c r="B17" s="11">
        <v>46200</v>
      </c>
      <c r="C17" t="s">
        <v>293</v>
      </c>
      <c r="D17" t="s">
        <v>131</v>
      </c>
      <c r="E17" t="s">
        <v>169</v>
      </c>
      <c r="F17" t="s">
        <v>294</v>
      </c>
      <c r="G17" t="s">
        <v>295</v>
      </c>
      <c r="H17" s="14">
        <v>4</v>
      </c>
      <c r="I17" s="14">
        <v>3</v>
      </c>
      <c r="J17" t="s">
        <v>128</v>
      </c>
      <c r="K17" s="14">
        <v>2</v>
      </c>
      <c r="L17" t="s">
        <v>213</v>
      </c>
      <c r="M17" t="s">
        <v>128</v>
      </c>
      <c r="N17" t="s">
        <v>214</v>
      </c>
      <c r="O17" t="s">
        <v>296</v>
      </c>
      <c r="P17" t="s">
        <v>134</v>
      </c>
      <c r="Q17" s="14">
        <f t="shared" si="0"/>
        <v>11</v>
      </c>
      <c r="R17" s="5" t="s">
        <v>235</v>
      </c>
    </row>
    <row r="18" spans="1:18">
      <c r="A18" s="4" t="s">
        <v>297</v>
      </c>
      <c r="B18" s="11">
        <v>46201</v>
      </c>
      <c r="C18" t="s">
        <v>298</v>
      </c>
      <c r="D18" t="s">
        <v>56</v>
      </c>
      <c r="E18" t="s">
        <v>64</v>
      </c>
      <c r="F18" t="s">
        <v>299</v>
      </c>
      <c r="G18" t="s">
        <v>300</v>
      </c>
      <c r="H18" s="14">
        <v>5</v>
      </c>
      <c r="I18" s="14">
        <v>5</v>
      </c>
      <c r="J18" t="s">
        <v>62</v>
      </c>
      <c r="K18" s="14">
        <v>3</v>
      </c>
      <c r="L18" t="s">
        <v>213</v>
      </c>
      <c r="M18" t="s">
        <v>213</v>
      </c>
      <c r="N18" t="s">
        <v>221</v>
      </c>
      <c r="O18" t="s">
        <v>301</v>
      </c>
      <c r="P18" t="s">
        <v>60</v>
      </c>
      <c r="Q18" s="14">
        <f t="shared" si="0"/>
        <v>20</v>
      </c>
      <c r="R18" s="5" t="s">
        <v>216</v>
      </c>
    </row>
    <row r="19" spans="1:18">
      <c r="A19" s="4" t="s">
        <v>302</v>
      </c>
      <c r="B19" s="11">
        <v>46201</v>
      </c>
      <c r="C19" t="s">
        <v>303</v>
      </c>
      <c r="D19" t="s">
        <v>56</v>
      </c>
      <c r="E19" t="s">
        <v>64</v>
      </c>
      <c r="F19" t="s">
        <v>304</v>
      </c>
      <c r="G19" t="s">
        <v>305</v>
      </c>
      <c r="H19" s="14">
        <v>4</v>
      </c>
      <c r="I19" s="14">
        <v>4</v>
      </c>
      <c r="J19" t="s">
        <v>128</v>
      </c>
      <c r="K19" s="14">
        <v>2</v>
      </c>
      <c r="L19" t="s">
        <v>128</v>
      </c>
      <c r="M19" t="s">
        <v>213</v>
      </c>
      <c r="N19" t="s">
        <v>269</v>
      </c>
      <c r="O19" t="s">
        <v>306</v>
      </c>
      <c r="P19" t="s">
        <v>60</v>
      </c>
      <c r="Q19" s="14">
        <f t="shared" si="0"/>
        <v>12</v>
      </c>
      <c r="R19" s="5" t="s">
        <v>219</v>
      </c>
    </row>
    <row r="20" spans="1:18">
      <c r="A20" s="4" t="s">
        <v>307</v>
      </c>
      <c r="B20" s="11">
        <v>46202</v>
      </c>
      <c r="C20" t="s">
        <v>308</v>
      </c>
      <c r="D20" t="s">
        <v>108</v>
      </c>
      <c r="E20" t="s">
        <v>164</v>
      </c>
      <c r="F20" t="s">
        <v>189</v>
      </c>
      <c r="G20" t="s">
        <v>309</v>
      </c>
      <c r="H20" s="14">
        <v>5</v>
      </c>
      <c r="I20" s="14">
        <v>4</v>
      </c>
      <c r="J20" t="s">
        <v>62</v>
      </c>
      <c r="K20" s="14">
        <v>3</v>
      </c>
      <c r="L20" t="s">
        <v>213</v>
      </c>
      <c r="M20" t="s">
        <v>213</v>
      </c>
      <c r="N20" t="s">
        <v>221</v>
      </c>
      <c r="O20" t="s">
        <v>310</v>
      </c>
      <c r="P20" t="s">
        <v>110</v>
      </c>
      <c r="Q20" s="14">
        <f t="shared" si="0"/>
        <v>19</v>
      </c>
      <c r="R20" s="5" t="s">
        <v>219</v>
      </c>
    </row>
    <row r="21" spans="1:18">
      <c r="A21" s="4" t="s">
        <v>311</v>
      </c>
      <c r="B21" s="11">
        <v>46202</v>
      </c>
      <c r="C21" t="s">
        <v>312</v>
      </c>
      <c r="D21" t="s">
        <v>94</v>
      </c>
      <c r="E21" t="s">
        <v>92</v>
      </c>
      <c r="F21" t="s">
        <v>228</v>
      </c>
      <c r="G21" t="s">
        <v>313</v>
      </c>
      <c r="H21" s="14">
        <v>4</v>
      </c>
      <c r="I21" s="14">
        <v>5</v>
      </c>
      <c r="J21" t="s">
        <v>128</v>
      </c>
      <c r="K21" s="14">
        <v>2</v>
      </c>
      <c r="L21" t="s">
        <v>213</v>
      </c>
      <c r="M21" t="s">
        <v>213</v>
      </c>
      <c r="N21" t="s">
        <v>221</v>
      </c>
      <c r="O21" t="s">
        <v>314</v>
      </c>
      <c r="P21" t="s">
        <v>98</v>
      </c>
      <c r="Q21" s="14">
        <f t="shared" si="0"/>
        <v>13</v>
      </c>
      <c r="R21" s="5" t="s">
        <v>228</v>
      </c>
    </row>
    <row r="22" spans="1:18">
      <c r="A22" s="4" t="s">
        <v>315</v>
      </c>
      <c r="B22" s="11">
        <v>46203</v>
      </c>
      <c r="C22" t="s">
        <v>316</v>
      </c>
      <c r="D22" t="s">
        <v>143</v>
      </c>
      <c r="E22" t="s">
        <v>317</v>
      </c>
      <c r="F22" t="s">
        <v>241</v>
      </c>
      <c r="G22" t="s">
        <v>318</v>
      </c>
      <c r="H22" s="14">
        <v>4</v>
      </c>
      <c r="I22" s="14">
        <v>4</v>
      </c>
      <c r="J22" t="s">
        <v>128</v>
      </c>
      <c r="K22" s="14">
        <v>2</v>
      </c>
      <c r="L22" t="s">
        <v>128</v>
      </c>
      <c r="M22" t="s">
        <v>213</v>
      </c>
      <c r="N22" t="s">
        <v>221</v>
      </c>
      <c r="O22" t="s">
        <v>319</v>
      </c>
      <c r="P22" t="s">
        <v>147</v>
      </c>
      <c r="Q22" s="14">
        <f t="shared" si="0"/>
        <v>12</v>
      </c>
      <c r="R22" s="5" t="s">
        <v>241</v>
      </c>
    </row>
    <row r="23" spans="1:18">
      <c r="A23" s="4" t="s">
        <v>320</v>
      </c>
      <c r="B23" s="11">
        <v>46203</v>
      </c>
      <c r="C23" t="s">
        <v>321</v>
      </c>
      <c r="D23" t="s">
        <v>124</v>
      </c>
      <c r="E23" t="s">
        <v>317</v>
      </c>
      <c r="F23" t="s">
        <v>322</v>
      </c>
      <c r="G23" t="s">
        <v>323</v>
      </c>
      <c r="H23" s="14">
        <v>5</v>
      </c>
      <c r="I23" s="14">
        <v>5</v>
      </c>
      <c r="J23" t="s">
        <v>62</v>
      </c>
      <c r="K23" s="14">
        <v>3</v>
      </c>
      <c r="L23" t="s">
        <v>213</v>
      </c>
      <c r="M23" t="s">
        <v>213</v>
      </c>
      <c r="N23" t="s">
        <v>221</v>
      </c>
      <c r="O23" t="s">
        <v>324</v>
      </c>
      <c r="P23" t="s">
        <v>127</v>
      </c>
      <c r="Q23" s="14">
        <f t="shared" si="0"/>
        <v>20</v>
      </c>
      <c r="R23" s="5" t="s">
        <v>216</v>
      </c>
    </row>
    <row r="24" spans="1:18">
      <c r="A24" s="4" t="s">
        <v>325</v>
      </c>
      <c r="B24" s="11">
        <v>46204</v>
      </c>
      <c r="C24" t="s">
        <v>326</v>
      </c>
      <c r="D24" t="s">
        <v>137</v>
      </c>
      <c r="E24" t="s">
        <v>169</v>
      </c>
      <c r="F24" t="s">
        <v>327</v>
      </c>
      <c r="G24" t="s">
        <v>328</v>
      </c>
      <c r="H24" s="14">
        <v>4</v>
      </c>
      <c r="I24" s="14">
        <v>4</v>
      </c>
      <c r="J24" t="s">
        <v>128</v>
      </c>
      <c r="K24" s="14">
        <v>2</v>
      </c>
      <c r="L24" t="s">
        <v>213</v>
      </c>
      <c r="M24" t="s">
        <v>213</v>
      </c>
      <c r="N24" t="s">
        <v>221</v>
      </c>
      <c r="O24" t="s">
        <v>329</v>
      </c>
      <c r="P24" t="s">
        <v>140</v>
      </c>
      <c r="Q24" s="14">
        <f t="shared" si="0"/>
        <v>12</v>
      </c>
      <c r="R24" s="5" t="s">
        <v>330</v>
      </c>
    </row>
    <row r="25" spans="1:18">
      <c r="A25" s="4" t="s">
        <v>331</v>
      </c>
      <c r="B25" s="11">
        <v>46204</v>
      </c>
      <c r="C25" t="s">
        <v>332</v>
      </c>
      <c r="D25" t="s">
        <v>56</v>
      </c>
      <c r="E25" t="s">
        <v>64</v>
      </c>
      <c r="F25" t="s">
        <v>333</v>
      </c>
      <c r="G25" t="s">
        <v>334</v>
      </c>
      <c r="H25" s="14">
        <v>5</v>
      </c>
      <c r="I25" s="14">
        <v>5</v>
      </c>
      <c r="J25" t="s">
        <v>62</v>
      </c>
      <c r="K25" s="14">
        <v>3</v>
      </c>
      <c r="L25" t="s">
        <v>213</v>
      </c>
      <c r="M25" t="s">
        <v>213</v>
      </c>
      <c r="N25" t="s">
        <v>221</v>
      </c>
      <c r="O25" t="s">
        <v>335</v>
      </c>
      <c r="P25" t="s">
        <v>60</v>
      </c>
      <c r="Q25" s="14">
        <f t="shared" si="0"/>
        <v>20</v>
      </c>
      <c r="R25" s="5" t="s">
        <v>281</v>
      </c>
    </row>
    <row r="26" spans="1:18">
      <c r="A26" s="4" t="s">
        <v>336</v>
      </c>
      <c r="B26" s="11">
        <v>46205</v>
      </c>
      <c r="C26" t="s">
        <v>337</v>
      </c>
      <c r="D26" t="s">
        <v>143</v>
      </c>
      <c r="E26" t="s">
        <v>174</v>
      </c>
      <c r="F26" t="s">
        <v>338</v>
      </c>
      <c r="G26" t="s">
        <v>339</v>
      </c>
      <c r="H26" s="14">
        <v>4</v>
      </c>
      <c r="I26" s="14">
        <v>4</v>
      </c>
      <c r="J26" t="s">
        <v>128</v>
      </c>
      <c r="K26" s="14">
        <v>2</v>
      </c>
      <c r="L26" t="s">
        <v>213</v>
      </c>
      <c r="M26" t="s">
        <v>213</v>
      </c>
      <c r="N26" t="s">
        <v>221</v>
      </c>
      <c r="O26" t="s">
        <v>340</v>
      </c>
      <c r="P26" t="s">
        <v>147</v>
      </c>
      <c r="Q26" s="14">
        <f t="shared" si="0"/>
        <v>12</v>
      </c>
      <c r="R26" s="5" t="s">
        <v>216</v>
      </c>
    </row>
    <row r="27" spans="1:18">
      <c r="A27" s="4" t="s">
        <v>341</v>
      </c>
      <c r="B27" s="11">
        <v>46205</v>
      </c>
      <c r="C27" t="s">
        <v>342</v>
      </c>
      <c r="D27" t="s">
        <v>131</v>
      </c>
      <c r="E27" t="s">
        <v>174</v>
      </c>
      <c r="F27" t="s">
        <v>343</v>
      </c>
      <c r="G27" t="s">
        <v>344</v>
      </c>
      <c r="H27" s="14">
        <v>3</v>
      </c>
      <c r="I27" s="14">
        <v>3</v>
      </c>
      <c r="J27" t="s">
        <v>233</v>
      </c>
      <c r="K27" s="14">
        <v>1</v>
      </c>
      <c r="L27" t="s">
        <v>213</v>
      </c>
      <c r="M27" t="s">
        <v>128</v>
      </c>
      <c r="N27" t="s">
        <v>214</v>
      </c>
      <c r="O27" t="s">
        <v>345</v>
      </c>
      <c r="P27" t="s">
        <v>134</v>
      </c>
      <c r="Q27" s="14">
        <f t="shared" si="0"/>
        <v>6</v>
      </c>
      <c r="R27" s="5" t="s">
        <v>235</v>
      </c>
    </row>
    <row r="28" spans="1:18">
      <c r="A28" s="4" t="s">
        <v>346</v>
      </c>
      <c r="B28" s="11">
        <v>46206</v>
      </c>
      <c r="C28" t="s">
        <v>347</v>
      </c>
      <c r="D28" t="s">
        <v>87</v>
      </c>
      <c r="E28" t="s">
        <v>92</v>
      </c>
      <c r="F28" t="s">
        <v>348</v>
      </c>
      <c r="G28" t="s">
        <v>349</v>
      </c>
      <c r="H28" s="14">
        <v>5</v>
      </c>
      <c r="I28" s="14">
        <v>4</v>
      </c>
      <c r="J28" t="s">
        <v>62</v>
      </c>
      <c r="K28" s="14">
        <v>3</v>
      </c>
      <c r="L28" t="s">
        <v>213</v>
      </c>
      <c r="M28" t="s">
        <v>213</v>
      </c>
      <c r="N28" t="s">
        <v>221</v>
      </c>
      <c r="O28" t="s">
        <v>350</v>
      </c>
      <c r="P28" t="s">
        <v>90</v>
      </c>
      <c r="Q28" s="14">
        <f t="shared" si="0"/>
        <v>19</v>
      </c>
      <c r="R28" s="5" t="s">
        <v>205</v>
      </c>
    </row>
    <row r="29" spans="1:18">
      <c r="A29" s="4" t="s">
        <v>351</v>
      </c>
      <c r="B29" s="11">
        <v>46206</v>
      </c>
      <c r="C29" t="s">
        <v>352</v>
      </c>
      <c r="D29" t="s">
        <v>137</v>
      </c>
      <c r="E29" t="s">
        <v>183</v>
      </c>
      <c r="F29" t="s">
        <v>353</v>
      </c>
      <c r="G29" t="s">
        <v>354</v>
      </c>
      <c r="H29" s="14">
        <v>3</v>
      </c>
      <c r="I29" s="14">
        <v>3</v>
      </c>
      <c r="J29" t="s">
        <v>128</v>
      </c>
      <c r="K29" s="14">
        <v>2</v>
      </c>
      <c r="L29" t="s">
        <v>128</v>
      </c>
      <c r="M29" t="s">
        <v>128</v>
      </c>
      <c r="N29" t="s">
        <v>226</v>
      </c>
      <c r="O29" t="s">
        <v>355</v>
      </c>
      <c r="P29" t="s">
        <v>140</v>
      </c>
      <c r="Q29" s="14">
        <f t="shared" si="0"/>
        <v>9</v>
      </c>
      <c r="R29" s="5" t="s">
        <v>235</v>
      </c>
    </row>
    <row r="30" spans="1:18">
      <c r="A30" s="4" t="s">
        <v>356</v>
      </c>
      <c r="B30" s="11">
        <v>46207</v>
      </c>
      <c r="C30" t="s">
        <v>357</v>
      </c>
      <c r="D30" t="s">
        <v>94</v>
      </c>
      <c r="E30" t="s">
        <v>317</v>
      </c>
      <c r="F30" t="s">
        <v>228</v>
      </c>
      <c r="G30" t="s">
        <v>358</v>
      </c>
      <c r="H30" s="14">
        <v>4</v>
      </c>
      <c r="I30" s="14">
        <v>5</v>
      </c>
      <c r="J30" t="s">
        <v>62</v>
      </c>
      <c r="K30" s="14">
        <v>3</v>
      </c>
      <c r="L30" t="s">
        <v>213</v>
      </c>
      <c r="M30" t="s">
        <v>213</v>
      </c>
      <c r="N30" t="s">
        <v>221</v>
      </c>
      <c r="O30" t="s">
        <v>359</v>
      </c>
      <c r="P30" t="s">
        <v>98</v>
      </c>
      <c r="Q30" s="14">
        <f t="shared" si="0"/>
        <v>17</v>
      </c>
      <c r="R30" s="5" t="s">
        <v>228</v>
      </c>
    </row>
    <row r="31" spans="1:18">
      <c r="A31" s="4" t="s">
        <v>360</v>
      </c>
      <c r="B31" s="11">
        <v>46207</v>
      </c>
      <c r="C31" t="s">
        <v>361</v>
      </c>
      <c r="D31" t="s">
        <v>56</v>
      </c>
      <c r="E31" t="s">
        <v>64</v>
      </c>
      <c r="F31" t="s">
        <v>362</v>
      </c>
      <c r="G31" t="s">
        <v>363</v>
      </c>
      <c r="H31" s="14">
        <v>4</v>
      </c>
      <c r="I31" s="14">
        <v>5</v>
      </c>
      <c r="J31" t="s">
        <v>128</v>
      </c>
      <c r="K31" s="14">
        <v>2</v>
      </c>
      <c r="L31" t="s">
        <v>128</v>
      </c>
      <c r="M31" t="s">
        <v>213</v>
      </c>
      <c r="N31" t="s">
        <v>221</v>
      </c>
      <c r="O31" t="s">
        <v>364</v>
      </c>
      <c r="P31" t="s">
        <v>60</v>
      </c>
      <c r="Q31" s="14">
        <f t="shared" si="0"/>
        <v>13</v>
      </c>
      <c r="R31" s="5" t="s">
        <v>241</v>
      </c>
    </row>
    <row r="32" spans="1:18">
      <c r="A32" s="4" t="s">
        <v>365</v>
      </c>
      <c r="B32" s="11">
        <v>46208</v>
      </c>
      <c r="C32" t="s">
        <v>366</v>
      </c>
      <c r="D32" t="s">
        <v>113</v>
      </c>
      <c r="E32" t="s">
        <v>188</v>
      </c>
      <c r="F32" t="s">
        <v>367</v>
      </c>
      <c r="G32" t="s">
        <v>368</v>
      </c>
      <c r="H32" s="14">
        <v>4</v>
      </c>
      <c r="I32" s="14">
        <v>3</v>
      </c>
      <c r="J32" t="s">
        <v>128</v>
      </c>
      <c r="K32" s="14">
        <v>2</v>
      </c>
      <c r="L32" t="s">
        <v>213</v>
      </c>
      <c r="M32" t="s">
        <v>128</v>
      </c>
      <c r="N32" t="s">
        <v>214</v>
      </c>
      <c r="O32" t="s">
        <v>369</v>
      </c>
      <c r="P32" t="s">
        <v>116</v>
      </c>
      <c r="Q32" s="14">
        <f t="shared" si="0"/>
        <v>11</v>
      </c>
      <c r="R32" s="5" t="s">
        <v>219</v>
      </c>
    </row>
    <row r="33" spans="1:18">
      <c r="A33" s="6" t="s">
        <v>370</v>
      </c>
      <c r="B33" s="12">
        <v>46208</v>
      </c>
      <c r="C33" s="9" t="s">
        <v>371</v>
      </c>
      <c r="D33" s="9" t="s">
        <v>77</v>
      </c>
      <c r="E33" s="9" t="s">
        <v>81</v>
      </c>
      <c r="F33" s="9" t="s">
        <v>372</v>
      </c>
      <c r="G33" s="9" t="s">
        <v>373</v>
      </c>
      <c r="H33" s="15">
        <v>5</v>
      </c>
      <c r="I33" s="15">
        <v>5</v>
      </c>
      <c r="J33" s="9" t="s">
        <v>62</v>
      </c>
      <c r="K33" s="15">
        <v>3</v>
      </c>
      <c r="L33" s="9" t="s">
        <v>213</v>
      </c>
      <c r="M33" s="9" t="s">
        <v>213</v>
      </c>
      <c r="N33" s="9" t="s">
        <v>221</v>
      </c>
      <c r="O33" s="9" t="s">
        <v>374</v>
      </c>
      <c r="P33" s="9" t="s">
        <v>80</v>
      </c>
      <c r="Q33" s="15">
        <f t="shared" si="0"/>
        <v>20</v>
      </c>
      <c r="R33" s="7" t="s">
        <v>330</v>
      </c>
    </row>
  </sheetData>
  <dataValidations count="4">
    <dataValidation type="list" sqref="E2:E33" xr:uid="{00000000-0002-0000-0300-000000000000}">
      <formula1>"Power BI,Microsoft Fabric,IA générative,Data Quality,Data Governance,Self-service BI,Automatisation / APIs,Réglementation &amp; éthique"</formula1>
    </dataValidation>
    <dataValidation type="list" sqref="J2:J33" xr:uid="{00000000-0002-0000-0300-000001000000}">
      <formula1>"Faible,Moyenne,Haute"</formula1>
    </dataValidation>
    <dataValidation type="list" sqref="L2:M33" xr:uid="{00000000-0002-0000-0300-000002000000}">
      <formula1>"Faible,Moyenne,Forte"</formula1>
    </dataValidation>
    <dataValidation type="list" sqref="N2:N33" xr:uid="{00000000-0002-0000-0300-000003000000}">
      <formula1>"À surveiller,À tester,À documenter,À arbitrer,Recommandé"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opLeftCell="B1" workbookViewId="0"/>
  </sheetViews>
  <sheetFormatPr baseColWidth="10" defaultColWidth="8.796875" defaultRowHeight="13.8"/>
  <cols>
    <col min="1" max="1" width="10" customWidth="1"/>
    <col min="2" max="2" width="22" customWidth="1"/>
    <col min="3" max="4" width="48" customWidth="1"/>
    <col min="5" max="6" width="12" customWidth="1"/>
    <col min="7" max="7" width="10" customWidth="1"/>
    <col min="8" max="9" width="14" customWidth="1"/>
    <col min="10" max="10" width="12" customWidth="1"/>
  </cols>
  <sheetData>
    <row r="1" spans="1:10" ht="22.35" customHeight="1">
      <c r="A1" s="1" t="s">
        <v>375</v>
      </c>
      <c r="B1" s="1" t="s">
        <v>150</v>
      </c>
      <c r="C1" s="1" t="s">
        <v>205</v>
      </c>
      <c r="D1" s="1" t="s">
        <v>376</v>
      </c>
      <c r="E1" s="1" t="s">
        <v>377</v>
      </c>
      <c r="F1" s="1" t="s">
        <v>378</v>
      </c>
      <c r="G1" s="1" t="s">
        <v>153</v>
      </c>
      <c r="H1" s="1" t="s">
        <v>379</v>
      </c>
      <c r="I1" s="1" t="s">
        <v>204</v>
      </c>
      <c r="J1" s="1" t="s">
        <v>380</v>
      </c>
    </row>
    <row r="2" spans="1:10">
      <c r="A2" s="2" t="s">
        <v>381</v>
      </c>
      <c r="B2" s="8" t="s">
        <v>64</v>
      </c>
      <c r="C2" s="8" t="s">
        <v>382</v>
      </c>
      <c r="D2" s="8" t="s">
        <v>383</v>
      </c>
      <c r="E2" s="8" t="s">
        <v>384</v>
      </c>
      <c r="F2" s="8" t="s">
        <v>385</v>
      </c>
      <c r="G2" s="8">
        <v>1</v>
      </c>
      <c r="H2" s="8" t="s">
        <v>386</v>
      </c>
      <c r="I2" s="8" t="s">
        <v>387</v>
      </c>
      <c r="J2" s="3" t="s">
        <v>331</v>
      </c>
    </row>
    <row r="3" spans="1:10">
      <c r="A3" s="4" t="s">
        <v>388</v>
      </c>
      <c r="B3" t="s">
        <v>169</v>
      </c>
      <c r="C3" t="s">
        <v>389</v>
      </c>
      <c r="D3" t="s">
        <v>390</v>
      </c>
      <c r="E3" t="s">
        <v>233</v>
      </c>
      <c r="F3" t="s">
        <v>385</v>
      </c>
      <c r="G3">
        <v>1</v>
      </c>
      <c r="H3" t="s">
        <v>386</v>
      </c>
      <c r="I3" t="s">
        <v>387</v>
      </c>
      <c r="J3" s="5" t="s">
        <v>236</v>
      </c>
    </row>
    <row r="4" spans="1:10">
      <c r="A4" s="4" t="s">
        <v>391</v>
      </c>
      <c r="B4" t="s">
        <v>164</v>
      </c>
      <c r="C4" t="s">
        <v>392</v>
      </c>
      <c r="D4" t="s">
        <v>393</v>
      </c>
      <c r="E4" t="s">
        <v>233</v>
      </c>
      <c r="F4" t="s">
        <v>384</v>
      </c>
      <c r="G4">
        <v>2</v>
      </c>
      <c r="H4" t="s">
        <v>386</v>
      </c>
      <c r="I4" t="s">
        <v>387</v>
      </c>
      <c r="J4" s="5" t="s">
        <v>247</v>
      </c>
    </row>
    <row r="5" spans="1:10">
      <c r="A5" s="4" t="s">
        <v>394</v>
      </c>
      <c r="B5" t="s">
        <v>188</v>
      </c>
      <c r="C5" t="s">
        <v>395</v>
      </c>
      <c r="D5" t="s">
        <v>396</v>
      </c>
      <c r="E5" t="s">
        <v>384</v>
      </c>
      <c r="F5" t="s">
        <v>385</v>
      </c>
      <c r="G5">
        <v>2</v>
      </c>
      <c r="H5" t="s">
        <v>386</v>
      </c>
      <c r="I5" t="s">
        <v>387</v>
      </c>
      <c r="J5" s="5" t="s">
        <v>252</v>
      </c>
    </row>
    <row r="6" spans="1:10">
      <c r="A6" s="4" t="s">
        <v>397</v>
      </c>
      <c r="B6" t="s">
        <v>92</v>
      </c>
      <c r="C6" t="s">
        <v>398</v>
      </c>
      <c r="D6" t="s">
        <v>399</v>
      </c>
      <c r="E6" t="s">
        <v>384</v>
      </c>
      <c r="F6" t="s">
        <v>385</v>
      </c>
      <c r="G6">
        <v>1</v>
      </c>
      <c r="H6" t="s">
        <v>386</v>
      </c>
      <c r="I6" t="s">
        <v>387</v>
      </c>
      <c r="J6" s="5" t="s">
        <v>356</v>
      </c>
    </row>
    <row r="7" spans="1:10">
      <c r="A7" s="4" t="s">
        <v>400</v>
      </c>
      <c r="B7" t="s">
        <v>174</v>
      </c>
      <c r="C7" t="s">
        <v>401</v>
      </c>
      <c r="D7" t="s">
        <v>402</v>
      </c>
      <c r="E7" t="s">
        <v>233</v>
      </c>
      <c r="F7" t="s">
        <v>385</v>
      </c>
      <c r="G7">
        <v>2</v>
      </c>
      <c r="H7" t="s">
        <v>386</v>
      </c>
      <c r="I7" t="s">
        <v>387</v>
      </c>
      <c r="J7" s="5" t="s">
        <v>346</v>
      </c>
    </row>
    <row r="8" spans="1:10">
      <c r="A8" s="4" t="s">
        <v>403</v>
      </c>
      <c r="B8" t="s">
        <v>183</v>
      </c>
      <c r="C8" t="s">
        <v>404</v>
      </c>
      <c r="D8" t="s">
        <v>405</v>
      </c>
      <c r="E8" t="s">
        <v>233</v>
      </c>
      <c r="F8" t="s">
        <v>384</v>
      </c>
      <c r="G8">
        <v>3</v>
      </c>
      <c r="H8" t="s">
        <v>406</v>
      </c>
      <c r="I8" t="s">
        <v>214</v>
      </c>
      <c r="J8" s="5" t="s">
        <v>276</v>
      </c>
    </row>
    <row r="9" spans="1:10">
      <c r="A9" s="4" t="s">
        <v>407</v>
      </c>
      <c r="B9" t="s">
        <v>81</v>
      </c>
      <c r="C9" t="s">
        <v>408</v>
      </c>
      <c r="D9" t="s">
        <v>409</v>
      </c>
      <c r="E9" t="s">
        <v>233</v>
      </c>
      <c r="F9" t="s">
        <v>384</v>
      </c>
      <c r="G9">
        <v>4</v>
      </c>
      <c r="H9" t="s">
        <v>406</v>
      </c>
      <c r="I9" t="s">
        <v>214</v>
      </c>
      <c r="J9" s="5" t="s">
        <v>229</v>
      </c>
    </row>
    <row r="10" spans="1:10">
      <c r="A10" s="4" t="s">
        <v>410</v>
      </c>
      <c r="B10" t="s">
        <v>317</v>
      </c>
      <c r="C10" t="s">
        <v>411</v>
      </c>
      <c r="D10" t="s">
        <v>412</v>
      </c>
      <c r="E10" t="s">
        <v>233</v>
      </c>
      <c r="F10" t="s">
        <v>385</v>
      </c>
      <c r="G10">
        <v>2</v>
      </c>
      <c r="H10" t="s">
        <v>386</v>
      </c>
      <c r="I10" t="s">
        <v>387</v>
      </c>
      <c r="J10" s="5" t="s">
        <v>320</v>
      </c>
    </row>
    <row r="11" spans="1:10">
      <c r="A11" s="6" t="s">
        <v>413</v>
      </c>
      <c r="B11" s="9" t="s">
        <v>174</v>
      </c>
      <c r="C11" s="9" t="s">
        <v>414</v>
      </c>
      <c r="D11" s="9" t="s">
        <v>415</v>
      </c>
      <c r="E11" s="9" t="s">
        <v>233</v>
      </c>
      <c r="F11" s="9" t="s">
        <v>385</v>
      </c>
      <c r="G11" s="9">
        <v>1</v>
      </c>
      <c r="H11" s="9" t="s">
        <v>386</v>
      </c>
      <c r="I11" s="9" t="s">
        <v>387</v>
      </c>
      <c r="J11" s="7" t="s">
        <v>282</v>
      </c>
    </row>
  </sheetData>
  <dataValidations count="4">
    <dataValidation type="list" sqref="B2:B11" xr:uid="{00000000-0002-0000-0400-000000000000}">
      <formula1>"Power BI,Microsoft Fabric,IA générative,Data Quality,Data Governance,Self-service BI,Automatisation / APIs,Réglementation &amp; éthique"</formula1>
    </dataValidation>
    <dataValidation type="list" sqref="E2:F11" xr:uid="{00000000-0002-0000-0400-000001000000}">
      <formula1>"Faible,Moyen,Élevé"</formula1>
    </dataValidation>
    <dataValidation type="list" sqref="H2:H11" xr:uid="{00000000-0002-0000-0400-000003000000}">
      <formula1>"Court terme,Moyen terme,Long terme"</formula1>
    </dataValidation>
    <dataValidation type="list" sqref="I2:I11" xr:uid="{00000000-0002-0000-0400-000004000000}">
      <formula1>"À faire,En cours,Réalisé,À surveiller"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topLeftCell="B1" workbookViewId="0">
      <selection sqref="A1:H2"/>
    </sheetView>
  </sheetViews>
  <sheetFormatPr baseColWidth="10" defaultColWidth="8.796875" defaultRowHeight="13.8"/>
  <cols>
    <col min="1" max="1" width="28" customWidth="1"/>
    <col min="2" max="2" width="85" customWidth="1"/>
    <col min="3" max="3" width="16" customWidth="1"/>
    <col min="4" max="5" width="24" customWidth="1"/>
    <col min="6" max="6" width="52" customWidth="1"/>
    <col min="7" max="7" width="42" customWidth="1"/>
  </cols>
  <sheetData>
    <row r="1" spans="1:8" ht="22.35" customHeight="1">
      <c r="A1" s="19" t="s">
        <v>416</v>
      </c>
      <c r="B1" s="19"/>
      <c r="C1" s="19"/>
      <c r="D1" s="19"/>
      <c r="E1" s="19"/>
      <c r="F1" s="19"/>
      <c r="G1" s="19"/>
      <c r="H1" s="20"/>
    </row>
    <row r="2" spans="1:8">
      <c r="A2" s="20"/>
      <c r="B2" s="20"/>
      <c r="C2" s="20"/>
      <c r="D2" s="20"/>
      <c r="E2" s="20"/>
      <c r="F2" s="20"/>
      <c r="G2" s="20"/>
      <c r="H2" s="20"/>
    </row>
    <row r="4" spans="1:8">
      <c r="A4" s="1" t="s">
        <v>417</v>
      </c>
      <c r="B4" s="1" t="s">
        <v>418</v>
      </c>
      <c r="C4" s="1" t="s">
        <v>419</v>
      </c>
      <c r="D4" s="1" t="s">
        <v>420</v>
      </c>
    </row>
    <row r="5" spans="1:8">
      <c r="A5" s="2" t="s">
        <v>421</v>
      </c>
      <c r="B5" s="8" t="s">
        <v>422</v>
      </c>
      <c r="C5" s="8" t="s">
        <v>423</v>
      </c>
      <c r="D5" s="3" t="s">
        <v>424</v>
      </c>
    </row>
    <row r="6" spans="1:8">
      <c r="A6" s="4" t="s">
        <v>425</v>
      </c>
      <c r="B6" t="s">
        <v>426</v>
      </c>
      <c r="C6" t="s">
        <v>423</v>
      </c>
      <c r="D6" s="5" t="s">
        <v>427</v>
      </c>
    </row>
    <row r="7" spans="1:8">
      <c r="A7" s="4" t="s">
        <v>235</v>
      </c>
      <c r="B7" t="s">
        <v>428</v>
      </c>
      <c r="C7" t="s">
        <v>429</v>
      </c>
      <c r="D7" s="5" t="s">
        <v>430</v>
      </c>
    </row>
    <row r="8" spans="1:8">
      <c r="A8" s="4" t="s">
        <v>431</v>
      </c>
      <c r="B8" t="s">
        <v>432</v>
      </c>
      <c r="C8" t="s">
        <v>433</v>
      </c>
      <c r="D8" s="5" t="s">
        <v>434</v>
      </c>
    </row>
    <row r="9" spans="1:8">
      <c r="A9" s="6" t="s">
        <v>435</v>
      </c>
      <c r="B9" s="9" t="s">
        <v>436</v>
      </c>
      <c r="C9" s="9" t="s">
        <v>423</v>
      </c>
      <c r="D9" s="7" t="s">
        <v>437</v>
      </c>
    </row>
    <row r="11" spans="1:8">
      <c r="A11" s="1" t="s">
        <v>438</v>
      </c>
      <c r="B11" s="1" t="s">
        <v>439</v>
      </c>
      <c r="D11" s="1" t="s">
        <v>440</v>
      </c>
      <c r="E11" s="1" t="s">
        <v>441</v>
      </c>
      <c r="F11" s="1" t="s">
        <v>442</v>
      </c>
      <c r="G11" s="1" t="s">
        <v>443</v>
      </c>
    </row>
    <row r="12" spans="1:8">
      <c r="A12" s="2" t="s">
        <v>444</v>
      </c>
      <c r="B12" s="3" t="s">
        <v>445</v>
      </c>
      <c r="D12" s="2" t="s">
        <v>446</v>
      </c>
      <c r="E12" s="8" t="s">
        <v>447</v>
      </c>
      <c r="F12" s="8" t="s">
        <v>448</v>
      </c>
      <c r="G12" s="3" t="s">
        <v>449</v>
      </c>
    </row>
    <row r="13" spans="1:8">
      <c r="A13" s="4" t="s">
        <v>450</v>
      </c>
      <c r="B13" s="5" t="s">
        <v>451</v>
      </c>
      <c r="D13" s="4" t="s">
        <v>452</v>
      </c>
      <c r="E13" t="s">
        <v>453</v>
      </c>
      <c r="F13" t="s">
        <v>454</v>
      </c>
      <c r="G13" s="5" t="s">
        <v>455</v>
      </c>
    </row>
    <row r="14" spans="1:8">
      <c r="A14" s="4" t="s">
        <v>456</v>
      </c>
      <c r="B14" s="5" t="s">
        <v>457</v>
      </c>
      <c r="D14" s="4" t="s">
        <v>458</v>
      </c>
      <c r="E14" t="s">
        <v>459</v>
      </c>
      <c r="F14" t="s">
        <v>460</v>
      </c>
      <c r="G14" s="5" t="s">
        <v>461</v>
      </c>
    </row>
    <row r="15" spans="1:8">
      <c r="A15" s="4" t="s">
        <v>462</v>
      </c>
      <c r="B15" s="5" t="s">
        <v>463</v>
      </c>
      <c r="D15" s="4" t="s">
        <v>431</v>
      </c>
      <c r="E15" t="s">
        <v>464</v>
      </c>
      <c r="F15" t="s">
        <v>465</v>
      </c>
      <c r="G15" s="5" t="s">
        <v>466</v>
      </c>
    </row>
    <row r="16" spans="1:8">
      <c r="A16" s="4" t="s">
        <v>467</v>
      </c>
      <c r="B16" s="5" t="s">
        <v>468</v>
      </c>
      <c r="D16" s="6" t="s">
        <v>469</v>
      </c>
      <c r="E16" s="9" t="s">
        <v>470</v>
      </c>
      <c r="F16" s="9" t="s">
        <v>471</v>
      </c>
      <c r="G16" s="7" t="s">
        <v>472</v>
      </c>
    </row>
    <row r="17" spans="1:2">
      <c r="A17" s="4" t="s">
        <v>473</v>
      </c>
      <c r="B17" s="5" t="s">
        <v>474</v>
      </c>
    </row>
    <row r="18" spans="1:2">
      <c r="A18" s="4" t="s">
        <v>475</v>
      </c>
      <c r="B18" s="5" t="s">
        <v>476</v>
      </c>
    </row>
    <row r="19" spans="1:2">
      <c r="A19" s="6" t="s">
        <v>477</v>
      </c>
      <c r="B19" s="7" t="s">
        <v>478</v>
      </c>
    </row>
  </sheetData>
  <mergeCells count="1">
    <mergeCell ref="A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tabSelected="1" workbookViewId="0">
      <selection sqref="A1:H2"/>
    </sheetView>
  </sheetViews>
  <sheetFormatPr baseColWidth="10" defaultColWidth="8.796875" defaultRowHeight="13.8"/>
  <cols>
    <col min="1" max="1" width="30" customWidth="1"/>
    <col min="2" max="2" width="40" customWidth="1"/>
    <col min="3" max="3" width="30" customWidth="1"/>
  </cols>
  <sheetData>
    <row r="1" spans="1:8" ht="22.35" customHeight="1">
      <c r="A1" s="19" t="s">
        <v>479</v>
      </c>
      <c r="B1" s="19"/>
      <c r="C1" s="19"/>
      <c r="D1" s="20"/>
      <c r="E1" s="20"/>
      <c r="F1" s="20"/>
      <c r="G1" s="20"/>
      <c r="H1" s="20"/>
    </row>
    <row r="2" spans="1:8">
      <c r="A2" s="20"/>
      <c r="B2" s="20"/>
      <c r="C2" s="20"/>
      <c r="D2" s="20"/>
      <c r="E2" s="20"/>
      <c r="F2" s="20"/>
      <c r="G2" s="20"/>
      <c r="H2" s="20"/>
    </row>
    <row r="4" spans="1:8">
      <c r="A4" s="1" t="s">
        <v>480</v>
      </c>
      <c r="B4" s="1" t="s">
        <v>481</v>
      </c>
      <c r="C4" s="1" t="s">
        <v>17</v>
      </c>
    </row>
    <row r="5" spans="1:8">
      <c r="A5" s="2" t="s">
        <v>482</v>
      </c>
      <c r="B5" s="8">
        <f>COUNTA(Sources!A2:A100)</f>
        <v>15</v>
      </c>
      <c r="C5" s="3" t="s">
        <v>483</v>
      </c>
    </row>
    <row r="6" spans="1:8">
      <c r="A6" s="4" t="s">
        <v>484</v>
      </c>
      <c r="B6">
        <f>COUNTA(Veille!A2:A200)</f>
        <v>32</v>
      </c>
      <c r="C6" s="5" t="s">
        <v>485</v>
      </c>
    </row>
    <row r="7" spans="1:8">
      <c r="A7" s="4" t="s">
        <v>486</v>
      </c>
      <c r="B7">
        <f>COUNTA(Thematiques!A2:A50)</f>
        <v>8</v>
      </c>
      <c r="C7" s="5" t="s">
        <v>487</v>
      </c>
    </row>
    <row r="8" spans="1:8">
      <c r="A8" s="4" t="s">
        <v>488</v>
      </c>
      <c r="B8">
        <f>COUNTA(Recommandations!A2:A50)</f>
        <v>10</v>
      </c>
      <c r="C8" s="5" t="s">
        <v>489</v>
      </c>
    </row>
    <row r="9" spans="1:8">
      <c r="A9" s="4" t="s">
        <v>490</v>
      </c>
      <c r="B9">
        <f>COUNTIF(Veille!J2:J200,"Haute")</f>
        <v>12</v>
      </c>
      <c r="C9" s="5" t="s">
        <v>491</v>
      </c>
    </row>
    <row r="10" spans="1:8">
      <c r="A10" s="4" t="s">
        <v>492</v>
      </c>
      <c r="B10">
        <f>COUNTIF(Veille!D2:D200,"")</f>
        <v>167</v>
      </c>
      <c r="C10" s="5" t="s">
        <v>493</v>
      </c>
    </row>
    <row r="11" spans="1:8">
      <c r="A11" s="4" t="s">
        <v>494</v>
      </c>
      <c r="B11">
        <f>COUNTIF(Veille!O2:O200,"")</f>
        <v>167</v>
      </c>
      <c r="C11" s="5" t="s">
        <v>493</v>
      </c>
    </row>
    <row r="12" spans="1:8">
      <c r="A12" s="6" t="s">
        <v>467</v>
      </c>
      <c r="B12" s="9">
        <f>AVERAGE(Veille!H2:H200)</f>
        <v>4.1875</v>
      </c>
      <c r="C12" s="7" t="s">
        <v>495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Mode_emploi</vt:lpstr>
      <vt:lpstr>Sources</vt:lpstr>
      <vt:lpstr>Thematiques</vt:lpstr>
      <vt:lpstr>Veille</vt:lpstr>
      <vt:lpstr>Recommandations</vt:lpstr>
      <vt:lpstr>Modele_PowerBI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Da Costa</dc:creator>
  <cp:lastModifiedBy>Henrique Da Costa</cp:lastModifiedBy>
  <dcterms:created xsi:type="dcterms:W3CDTF">2026-06-30T15:57:14Z</dcterms:created>
  <dcterms:modified xsi:type="dcterms:W3CDTF">2026-06-30T15:57:14Z</dcterms:modified>
</cp:coreProperties>
</file>