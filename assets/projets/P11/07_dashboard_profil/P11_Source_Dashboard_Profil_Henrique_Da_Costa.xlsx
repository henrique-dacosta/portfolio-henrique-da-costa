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\P11\Livrables P11\TAB_BI_Profil\"/>
    </mc:Choice>
  </mc:AlternateContent>
  <xr:revisionPtr revIDLastSave="0" documentId="13_ncr:1_{761153B6-E6B2-4470-90FF-01CBED09F8D5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Mode_emploi" sheetId="1" r:id="rId1"/>
    <sheet name="Profil_KPI" sheetId="2" r:id="rId2"/>
    <sheet name="Competences" sheetId="3" r:id="rId3"/>
    <sheet name="Chronologie" sheetId="4" r:id="rId4"/>
    <sheet name="Projets_Phares" sheetId="5" r:id="rId5"/>
    <sheet name="Atouts" sheetId="6" r:id="rId6"/>
    <sheet name="Objectif" sheetId="7" r:id="rId7"/>
    <sheet name="Sources_Preuve" sheetId="8" r:id="rId8"/>
    <sheet name="Modele_PowerBI" sheetId="9" r:id="rId9"/>
    <sheet name="Control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5" i="10"/>
  <c r="C4" i="10"/>
  <c r="C3" i="10"/>
  <c r="C2" i="10"/>
</calcChain>
</file>

<file path=xl/sharedStrings.xml><?xml version="1.0" encoding="utf-8"?>
<sst xmlns="http://schemas.openxmlformats.org/spreadsheetml/2006/main" count="374" uniqueCount="302">
  <si>
    <t>P11 — Source du dashboard Power BI de présentation du profil</t>
  </si>
  <si>
    <t>Fichier d’alimentation du tableau de bord profil — Henrique Da Costa</t>
  </si>
  <si>
    <t>Étape</t>
  </si>
  <si>
    <t>Action</t>
  </si>
  <si>
    <t>Détail</t>
  </si>
  <si>
    <t>1</t>
  </si>
  <si>
    <t>Importer dans Power BI</t>
  </si>
  <si>
    <t>Obtenir les données &gt; Excel &gt; sélectionner ce fichier.</t>
  </si>
  <si>
    <t>2</t>
  </si>
  <si>
    <t>Charger les tables</t>
  </si>
  <si>
    <t>Charger Profil_KPI, Competences, Chronologie, Projets_Phares, Atouts, Objectif.</t>
  </si>
  <si>
    <t>3</t>
  </si>
  <si>
    <t>Créer la page</t>
  </si>
  <si>
    <t>Nommer la page Power BI : Tableau de bord profil.</t>
  </si>
  <si>
    <t>4</t>
  </si>
  <si>
    <t>Créer les KPI</t>
  </si>
  <si>
    <t>Utiliser la table Profil_KPI pour les cartes de synthèse.</t>
  </si>
  <si>
    <t>5</t>
  </si>
  <si>
    <t>Créer les visuels</t>
  </si>
  <si>
    <t>Barres compétences, frise chronologique, cartes projets, atouts et objectif professionnel.</t>
  </si>
  <si>
    <t>6</t>
  </si>
  <si>
    <t>Mettre en forme</t>
  </si>
  <si>
    <t>Reprendre la palette du portfolio : bleu nuit, bleu, vert, orange, fond clair.</t>
  </si>
  <si>
    <t>Hypothèse de cadrage</t>
  </si>
  <si>
    <t>Le dashboard doit permettre à un recruteur, un responsable Data, un manager métier ou un évaluateur OC de comprendre rapidement le positionnement : expérience métier, trajectoire Data / BI, projets phares, preuves et objectif professionnel.</t>
  </si>
  <si>
    <t>KPI_ID</t>
  </si>
  <si>
    <t>Indicateur</t>
  </si>
  <si>
    <t>Valeur</t>
  </si>
  <si>
    <t>Unite</t>
  </si>
  <si>
    <t>Sous_titre</t>
  </si>
  <si>
    <t>Ordre</t>
  </si>
  <si>
    <t>Source</t>
  </si>
  <si>
    <t>KPI01</t>
  </si>
  <si>
    <t>Expérience métier</t>
  </si>
  <si>
    <t>ans</t>
  </si>
  <si>
    <t>Expertise comptable, audit, conseil, formation</t>
  </si>
  <si>
    <t>CV</t>
  </si>
  <si>
    <t>KPI02</t>
  </si>
  <si>
    <t>Diplôme Data</t>
  </si>
  <si>
    <t>RNCP</t>
  </si>
  <si>
    <t>Data Scientist — diplôme obtenu en 2022</t>
  </si>
  <si>
    <t>Diplôme OpenClassrooms / CentraleSupélec</t>
  </si>
  <si>
    <t>KPI03</t>
  </si>
  <si>
    <t>Projets valorisés</t>
  </si>
  <si>
    <t>projets</t>
  </si>
  <si>
    <t>10 projets OpenClassrooms + Judilibre Explorer</t>
  </si>
  <si>
    <t>Portfolio P11</t>
  </si>
  <si>
    <t>KPI04</t>
  </si>
  <si>
    <t>Positionnement</t>
  </si>
  <si>
    <t>Data / BI</t>
  </si>
  <si>
    <t>Expert-comptable senior renforcé par la Data et la BI</t>
  </si>
  <si>
    <t>KPI05</t>
  </si>
  <si>
    <t>Formation en cours</t>
  </si>
  <si>
    <t>mars 2025 – sept. 2026</t>
  </si>
  <si>
    <t>Parcours OC Data Analyst — Business Intelligence Analyst</t>
  </si>
  <si>
    <t>Utilisateur</t>
  </si>
  <si>
    <t>KPI06</t>
  </si>
  <si>
    <t>Objectif certification</t>
  </si>
  <si>
    <t>Power BI</t>
  </si>
  <si>
    <t>Certification Microsoft Power BI visée avant la fin du parcours</t>
  </si>
  <si>
    <t>Competence_ID</t>
  </si>
  <si>
    <t>Famille</t>
  </si>
  <si>
    <t>Competence</t>
  </si>
  <si>
    <t>Niveau_pct</t>
  </si>
  <si>
    <t>Niveau_label</t>
  </si>
  <si>
    <t>Preuve_associee</t>
  </si>
  <si>
    <t>Usage_dashboard</t>
  </si>
  <si>
    <t>C01</t>
  </si>
  <si>
    <t>Métier</t>
  </si>
  <si>
    <t>Expertise comptable</t>
  </si>
  <si>
    <t>Expert</t>
  </si>
  <si>
    <t>30 ans d’expérience en expertise comptable et CAC</t>
  </si>
  <si>
    <t>Barres compétences</t>
  </si>
  <si>
    <t>C02</t>
  </si>
  <si>
    <t>Audit / contrôle / fiabilité</t>
  </si>
  <si>
    <t>Parcours expert-comptable, audit, contrôle et qualité</t>
  </si>
  <si>
    <t>C03</t>
  </si>
  <si>
    <t>Droit fiscal / affaires</t>
  </si>
  <si>
    <t>Master droit des affaires et fiscalité, pratique professionnelle</t>
  </si>
  <si>
    <t>C04</t>
  </si>
  <si>
    <t>SQL / MySQL</t>
  </si>
  <si>
    <t>Avancé</t>
  </si>
  <si>
    <t>Parcours Data Scientist + projets OC P3, P5, P9</t>
  </si>
  <si>
    <t>C05</t>
  </si>
  <si>
    <t>Python</t>
  </si>
  <si>
    <t>P6, P8, Data Scientist RNCP niveau 7</t>
  </si>
  <si>
    <t>C06</t>
  </si>
  <si>
    <t>Opérationnel+</t>
  </si>
  <si>
    <t>P7 et P9, certification Microsoft Power BI visée</t>
  </si>
  <si>
    <t>C07</t>
  </si>
  <si>
    <t>Power Query</t>
  </si>
  <si>
    <t>Projets BI et préparation des données</t>
  </si>
  <si>
    <t>C08</t>
  </si>
  <si>
    <t>Data visualisation</t>
  </si>
  <si>
    <t>P7, P9, dashboards P11</t>
  </si>
  <si>
    <t>C09</t>
  </si>
  <si>
    <t>Développement</t>
  </si>
  <si>
    <t>Streamlit / portfolio</t>
  </si>
  <si>
    <t>Portfolio P11 et Judilibre Explorer</t>
  </si>
  <si>
    <t>Atouts</t>
  </si>
  <si>
    <t>C10</t>
  </si>
  <si>
    <t>Soft skills</t>
  </si>
  <si>
    <t>Vulgarisation / formation</t>
  </si>
  <si>
    <t>Plus de 20 ans d’expérience en formation</t>
  </si>
  <si>
    <t>C11</t>
  </si>
  <si>
    <t>Restitution décisionnelle</t>
  </si>
  <si>
    <t>Posture consultant, synthèse et recommandation</t>
  </si>
  <si>
    <t>Periode_ID</t>
  </si>
  <si>
    <t>Debut</t>
  </si>
  <si>
    <t>Fin</t>
  </si>
  <si>
    <t>Periode_affichee</t>
  </si>
  <si>
    <t>Intitule</t>
  </si>
  <si>
    <t>Description</t>
  </si>
  <si>
    <t>Categorie</t>
  </si>
  <si>
    <t>P01</t>
  </si>
  <si>
    <t>1985–1994</t>
  </si>
  <si>
    <t>Premières expériences professionnelles</t>
  </si>
  <si>
    <t>Expériences diverses, dont encadrement d’une équipe de 10 ouvriers.</t>
  </si>
  <si>
    <t>Expérience</t>
  </si>
  <si>
    <t>P02</t>
  </si>
  <si>
    <t>1994–2002</t>
  </si>
  <si>
    <t>Expert-comptable et commissaire aux comptes</t>
  </si>
  <si>
    <t>P03</t>
  </si>
  <si>
    <t>2002–2016</t>
  </si>
  <si>
    <t>Expert-comptable indépendant et consultant formateur</t>
  </si>
  <si>
    <t>P04</t>
  </si>
  <si>
    <t>2016–2022</t>
  </si>
  <si>
    <t>Direction technique et consultant formateur</t>
  </si>
  <si>
    <t>Direction de cabinets, formation, management, conseil et outils métier.</t>
  </si>
  <si>
    <t>P05</t>
  </si>
  <si>
    <t>2021–2022</t>
  </si>
  <si>
    <t>Data Scientist RNCP niveau 7</t>
  </si>
  <si>
    <t>Formation Data</t>
  </si>
  <si>
    <t>P06</t>
  </si>
  <si>
    <t>2022–2025</t>
  </si>
  <si>
    <t>Expert-comptable — AGC Lozère</t>
  </si>
  <si>
    <t>P07</t>
  </si>
  <si>
    <t>Depuis mars 2025</t>
  </si>
  <si>
    <t>Parcours OC Data Analyst — BI Analyst</t>
  </si>
  <si>
    <t>Formation Data / BI</t>
  </si>
  <si>
    <t>Projet_ID</t>
  </si>
  <si>
    <t>Projet</t>
  </si>
  <si>
    <t>Titre</t>
  </si>
  <si>
    <t>Domaine</t>
  </si>
  <si>
    <t>Outils</t>
  </si>
  <si>
    <t>Competence_cible</t>
  </si>
  <si>
    <t>Valeur_metier</t>
  </si>
  <si>
    <t>Score_mise_en_avant</t>
  </si>
  <si>
    <t>P6</t>
  </si>
  <si>
    <t>Optimisation de la gestion des stocks d’une boutique e-commerce</t>
  </si>
  <si>
    <t>Data cleaning / analyse opérationnelle</t>
  </si>
  <si>
    <t>Python, Pandas</t>
  </si>
  <si>
    <t>Préparer et fiabiliser des données hétérogènes</t>
  </si>
  <si>
    <t>Produire des KPI fiables de ventes, stock, CA et marge.</t>
  </si>
  <si>
    <t>P7</t>
  </si>
  <si>
    <t>Tableau de bord Power BI de pilotage</t>
  </si>
  <si>
    <t>Business Intelligence</t>
  </si>
  <si>
    <t>Power BI, Power Query, DAX</t>
  </si>
  <si>
    <t>Construire un dashboard décisionnel</t>
  </si>
  <si>
    <t>Restituer des indicateurs visuels et utiles aux décideurs.</t>
  </si>
  <si>
    <t>P8</t>
  </si>
  <si>
    <t>Modélisation prédictive du marché immobilier parisien</t>
  </si>
  <si>
    <t>Machine learning</t>
  </si>
  <si>
    <t>Python, scikit-learn</t>
  </si>
  <si>
    <t>Modéliser et interpréter des facteurs d’influence</t>
  </si>
  <si>
    <t>Estimer des prix et identifier les facteurs explicatifs.</t>
  </si>
  <si>
    <t>P9</t>
  </si>
  <si>
    <t>Analyse de performance commerciale et BI</t>
  </si>
  <si>
    <t>SQL / Power BI / performance</t>
  </si>
  <si>
    <t>SQL, Power BI, DAX</t>
  </si>
  <si>
    <t>Analyser la performance et la restituer en BI</t>
  </si>
  <si>
    <t>Transformer les données commerciales en indicateurs d’aide à la décision.</t>
  </si>
  <si>
    <t>Atout_ID</t>
  </si>
  <si>
    <t>Atout</t>
  </si>
  <si>
    <t>Preuve</t>
  </si>
  <si>
    <t>Icone_suggeree</t>
  </si>
  <si>
    <t>A01</t>
  </si>
  <si>
    <t>Double expertise rare</t>
  </si>
  <si>
    <t>Expertise comptable senior renforcée par la Data et la BI.</t>
  </si>
  <si>
    <t>CV + parcours OC</t>
  </si>
  <si>
    <t>Bouclier</t>
  </si>
  <si>
    <t>A02</t>
  </si>
  <si>
    <t>Vision business</t>
  </si>
  <si>
    <t>Capacité à relier données, indicateurs, risques et décision métier.</t>
  </si>
  <si>
    <t>Expérience métier + P7/P9</t>
  </si>
  <si>
    <t>Cible</t>
  </si>
  <si>
    <t>A03</t>
  </si>
  <si>
    <t>Fiabilité et contrôle</t>
  </si>
  <si>
    <t>Culture du contrôle, de la justification et de la traçabilité des données.</t>
  </si>
  <si>
    <t>Expertise comptable / audit</t>
  </si>
  <si>
    <t>Check</t>
  </si>
  <si>
    <t>A04</t>
  </si>
  <si>
    <t>Pédagogie et transmission</t>
  </si>
  <si>
    <t>Plus de 20 ans de formation et de vulgarisation professionnelle.</t>
  </si>
  <si>
    <t>Personnes</t>
  </si>
  <si>
    <t>A05</t>
  </si>
  <si>
    <t>Polyvalence technique</t>
  </si>
  <si>
    <t>SQL, Python, Power BI, Power Query, Streamlit et culture web.</t>
  </si>
  <si>
    <t>Projets P6 à P9 + portfolio</t>
  </si>
  <si>
    <t>Puzzle</t>
  </si>
  <si>
    <t>Objectif_ID</t>
  </si>
  <si>
    <t>Type</t>
  </si>
  <si>
    <t>Texte</t>
  </si>
  <si>
    <t>Usage</t>
  </si>
  <si>
    <t>O01</t>
  </si>
  <si>
    <t>Expert-comptable de formation, Data Scientist RNCP niveau 7, en spécialisation Data Analyst / Business Intelligence Analyst.</t>
  </si>
  <si>
    <t>Bandeau / sous-titre</t>
  </si>
  <si>
    <t>O02</t>
  </si>
  <si>
    <t>Objectif professionnel</t>
  </si>
  <si>
    <t>Contribuer à des projets Data &amp; BI à fort impact, en transformant des données métier en analyses fiables, visuelles et actionnables.</t>
  </si>
  <si>
    <t>Carte objectif</t>
  </si>
  <si>
    <t>O03</t>
  </si>
  <si>
    <t>Obtenir la certification Microsoft Power BI avant la fin du parcours OpenClassrooms, fixée au 27 septembre 2026.</t>
  </si>
  <si>
    <t>Mention formation</t>
  </si>
  <si>
    <t>O04</t>
  </si>
  <si>
    <t>Projection stage</t>
  </si>
  <si>
    <t>Mettre en pratique les compétences Data / BI lors d’un stage de deux mois en cabinet d’avocat en août et septembre 2026.</t>
  </si>
  <si>
    <t>Chronologie / note</t>
  </si>
  <si>
    <t>Source_ID</t>
  </si>
  <si>
    <t>Element_justifie</t>
  </si>
  <si>
    <t>Commentaire</t>
  </si>
  <si>
    <t>S01</t>
  </si>
  <si>
    <t>CV_EC.pdf</t>
  </si>
  <si>
    <t>CV source utilisateur</t>
  </si>
  <si>
    <t>S02</t>
  </si>
  <si>
    <t>S03</t>
  </si>
  <si>
    <t>Parcours professionnel 1985–2025</t>
  </si>
  <si>
    <t>S04</t>
  </si>
  <si>
    <t>Diplôme Data Scientist.pdf</t>
  </si>
  <si>
    <t>Diplôme Data Scientist RNCP niveau 7 délivré en 2022</t>
  </si>
  <si>
    <t>S05</t>
  </si>
  <si>
    <t>Parcours OC Data Analyst — BI Analyst depuis mars 2025</t>
  </si>
  <si>
    <t>Précision fournie dans la conversation</t>
  </si>
  <si>
    <t>S06</t>
  </si>
  <si>
    <t>Stage en cabinet d’avocat août–septembre 2026</t>
  </si>
  <si>
    <t>S07</t>
  </si>
  <si>
    <t>Certification Microsoft Power BI visée avant le 27/09/2026</t>
  </si>
  <si>
    <t>Section</t>
  </si>
  <si>
    <t>Element Power BI</t>
  </si>
  <si>
    <t>Champ / Mesure</t>
  </si>
  <si>
    <t>Consigne</t>
  </si>
  <si>
    <t>Relations</t>
  </si>
  <si>
    <t>Aucune relation obligatoire</t>
  </si>
  <si>
    <t>-</t>
  </si>
  <si>
    <t>Les tables sont volontairement simples ; le dashboard peut fonctionner sans modèle complexe.</t>
  </si>
  <si>
    <t>Carte KPI</t>
  </si>
  <si>
    <t>Profil_KPI[Valeur] filtré sur KPI01</t>
  </si>
  <si>
    <t>Carte ou carte nouvelle génération.</t>
  </si>
  <si>
    <t>Profil_KPI[Unite] / Profil_KPI[Indicateur]</t>
  </si>
  <si>
    <t>Afficher RNCP 7.</t>
  </si>
  <si>
    <t>Profil_KPI[Valeur] filtré sur KPI03</t>
  </si>
  <si>
    <t>Afficher 11.</t>
  </si>
  <si>
    <t>Profil_KPI[Unite] filtré sur KPI04</t>
  </si>
  <si>
    <t>Afficher Data / BI.</t>
  </si>
  <si>
    <t>Graphique</t>
  </si>
  <si>
    <t>Répartition des compétences</t>
  </si>
  <si>
    <t>Competences[Competence] + Competences[Niveau_pct]</t>
  </si>
  <si>
    <t>Barres horizontales triées par ordre ou niveau.</t>
  </si>
  <si>
    <t>Familles de compétences</t>
  </si>
  <si>
    <t>Competences[Famille]</t>
  </si>
  <si>
    <t>Barres, treemap ou anneau discret.</t>
  </si>
  <si>
    <t>Chronologie</t>
  </si>
  <si>
    <t>Frise du parcours</t>
  </si>
  <si>
    <t>Chronologie[Periode_affichee], Chronologie[Intitule], Chronologie[Ordre]</t>
  </si>
  <si>
    <t>Frise via graphique ou cartes alignées.</t>
  </si>
  <si>
    <t>Cartes</t>
  </si>
  <si>
    <t>Projets phares</t>
  </si>
  <si>
    <t>Projets_Phares[Projet], [Titre], [Valeur_metier]</t>
  </si>
  <si>
    <t>Afficher P6, P7, P8, P9.</t>
  </si>
  <si>
    <t>Atouts distinctifs</t>
  </si>
  <si>
    <t>Atouts[Atout], Atouts[Description]</t>
  </si>
  <si>
    <t>Afficher 4 à 5 cartes synthétiques.</t>
  </si>
  <si>
    <t>Carte texte</t>
  </si>
  <si>
    <t>Objectif[Texte] filtré sur O02</t>
  </si>
  <si>
    <t>Texte court et orienté valeur métier.</t>
  </si>
  <si>
    <t>Mesure DAX</t>
  </si>
  <si>
    <t>Nb projets phares</t>
  </si>
  <si>
    <t>Nb projets phares = COUNTROWS(Projets_Phares)</t>
  </si>
  <si>
    <t>Optionnel.</t>
  </si>
  <si>
    <t>Score moyen compétences</t>
  </si>
  <si>
    <t>Score moyen compétences = AVERAGE(Competences[Niveau_pct])</t>
  </si>
  <si>
    <t>Nb compétences Data BI</t>
  </si>
  <si>
    <t>Nb compétences Data BI = CALCULATE(COUNTROWS(Competences), Competences[Famille] = "Data / BI")</t>
  </si>
  <si>
    <t>Contrôle</t>
  </si>
  <si>
    <t>Valeur attendue</t>
  </si>
  <si>
    <t>Formule / Source</t>
  </si>
  <si>
    <t>Nombre de KPI</t>
  </si>
  <si>
    <t>Nombre de compétences</t>
  </si>
  <si>
    <t>Nombre de périodes chronologie</t>
  </si>
  <si>
    <t>Nombre de projets phares</t>
  </si>
  <si>
    <t>Nombre d’atouts</t>
  </si>
  <si>
    <t>Expert-comptable et commissaire aux comptes en cabinet ; direction d’un cabinet de 10 personnes au sein du groupe CHD.</t>
  </si>
  <si>
    <t>Expertise comptable indépendant, conseil, formation et accompagnement clients.</t>
  </si>
  <si>
    <t>Parcours Data Scientist réalisé en 2021 ; diplôme Data Scientist RNCP niveau 7 obtenu en 2022.</t>
  </si>
  <si>
    <t>Expert-comptable salarié — AGC Lozère.</t>
  </si>
  <si>
    <t>Parcours OpenClassrooms Data Analyst — Business Intelligence Analyst ; objectif de certification Microsoft Power BI avant le 27/09/2026.</t>
  </si>
  <si>
    <t>Atout_Court</t>
  </si>
  <si>
    <t>Double expertise métier &amp; Data / BI</t>
  </si>
  <si>
    <t>Vision décisionnelle &amp; sens business</t>
  </si>
  <si>
    <t>Fiabilisation des données</t>
  </si>
  <si>
    <t>Restitution claire &amp; pédagogie</t>
  </si>
  <si>
    <t>Autonomie &amp; structuration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</si>
</sst>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FFFFFF"/>
      <name val="Carlito"/>
    </font>
    <font>
      <b/>
      <sz val="11"/>
      <color rgb="FF172554"/>
      <name val="Carlito"/>
    </font>
    <font>
      <b/>
      <sz val="11"/>
      <color rgb="FFFFFFFF"/>
      <name val="Carlito"/>
    </font>
    <font>
      <sz val="11"/>
      <color rgb="FF0F172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2554"/>
      </patternFill>
    </fill>
    <fill>
      <patternFill patternType="solid">
        <fgColor rgb="FFEFF6FF"/>
      </patternFill>
    </fill>
    <fill>
      <patternFill patternType="solid">
        <fgColor rgb="FFECFDF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vertical="top" wrapText="1"/>
    </xf>
    <xf numFmtId="1" fontId="0" fillId="0" borderId="7" xfId="0" applyNumberFormat="1" applyBorder="1" applyAlignment="1">
      <alignment vertical="top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F2"/>
    </sheetView>
  </sheetViews>
  <sheetFormatPr baseColWidth="10" defaultColWidth="8.796875" defaultRowHeight="13.8"/>
  <cols>
    <col min="1" max="1" width="10" customWidth="1"/>
    <col min="2" max="2" width="28" customWidth="1"/>
    <col min="3" max="3" width="85" customWidth="1"/>
  </cols>
  <sheetData>
    <row r="1" spans="1:6">
      <c r="A1" s="13" t="s">
        <v>0</v>
      </c>
      <c r="B1" s="13"/>
      <c r="C1" s="13"/>
      <c r="D1" s="13"/>
      <c r="E1" s="13"/>
      <c r="F1" s="13"/>
    </row>
    <row r="2" spans="1:6">
      <c r="A2" s="13"/>
      <c r="B2" s="13"/>
      <c r="C2" s="13"/>
      <c r="D2" s="13"/>
      <c r="E2" s="13"/>
      <c r="F2" s="13"/>
    </row>
    <row r="3" spans="1:6">
      <c r="A3" s="14" t="s">
        <v>1</v>
      </c>
      <c r="B3" s="14"/>
      <c r="C3" s="14"/>
      <c r="D3" s="14"/>
      <c r="E3" s="14"/>
      <c r="F3" s="14"/>
    </row>
    <row r="5" spans="1:6">
      <c r="A5" s="7" t="s">
        <v>2</v>
      </c>
      <c r="B5" s="8" t="s">
        <v>3</v>
      </c>
      <c r="C5" s="9" t="s">
        <v>4</v>
      </c>
    </row>
    <row r="6" spans="1:6">
      <c r="A6" s="1" t="s">
        <v>5</v>
      </c>
      <c r="B6" s="2" t="s">
        <v>6</v>
      </c>
      <c r="C6" s="3" t="s">
        <v>7</v>
      </c>
    </row>
    <row r="7" spans="1:6">
      <c r="A7" s="1" t="s">
        <v>8</v>
      </c>
      <c r="B7" s="2" t="s">
        <v>9</v>
      </c>
      <c r="C7" s="3" t="s">
        <v>10</v>
      </c>
    </row>
    <row r="8" spans="1:6">
      <c r="A8" s="1" t="s">
        <v>11</v>
      </c>
      <c r="B8" s="2" t="s">
        <v>12</v>
      </c>
      <c r="C8" s="3" t="s">
        <v>13</v>
      </c>
    </row>
    <row r="9" spans="1:6">
      <c r="A9" s="1" t="s">
        <v>14</v>
      </c>
      <c r="B9" s="2" t="s">
        <v>15</v>
      </c>
      <c r="C9" s="3" t="s">
        <v>16</v>
      </c>
    </row>
    <row r="10" spans="1:6">
      <c r="A10" s="1" t="s">
        <v>17</v>
      </c>
      <c r="B10" s="2" t="s">
        <v>18</v>
      </c>
      <c r="C10" s="3" t="s">
        <v>19</v>
      </c>
    </row>
    <row r="11" spans="1:6">
      <c r="A11" s="4" t="s">
        <v>20</v>
      </c>
      <c r="B11" s="5" t="s">
        <v>21</v>
      </c>
      <c r="C11" s="6" t="s">
        <v>22</v>
      </c>
    </row>
    <row r="13" spans="1:6">
      <c r="A13" s="15" t="s">
        <v>23</v>
      </c>
      <c r="B13" s="15"/>
      <c r="C13" s="15"/>
      <c r="D13" s="15"/>
      <c r="E13" s="15"/>
      <c r="F13" s="15"/>
    </row>
    <row r="14" spans="1:6">
      <c r="A14" s="16" t="s">
        <v>24</v>
      </c>
      <c r="B14" s="17"/>
      <c r="C14" s="17"/>
      <c r="D14" s="17"/>
      <c r="E14" s="17"/>
      <c r="F14" s="18"/>
    </row>
    <row r="15" spans="1:6">
      <c r="A15" s="19"/>
      <c r="B15" s="20"/>
      <c r="C15" s="20"/>
      <c r="D15" s="20"/>
      <c r="E15" s="20"/>
      <c r="F15" s="21"/>
    </row>
    <row r="16" spans="1:6">
      <c r="A16" s="22"/>
      <c r="B16" s="23"/>
      <c r="C16" s="23"/>
      <c r="D16" s="23"/>
      <c r="E16" s="23"/>
      <c r="F16" s="24"/>
    </row>
  </sheetData>
  <mergeCells count="4">
    <mergeCell ref="A1:F2"/>
    <mergeCell ref="A3:F3"/>
    <mergeCell ref="A13:F13"/>
    <mergeCell ref="A14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12" customWidth="1"/>
    <col min="4" max="4" width="18" customWidth="1"/>
    <col min="5" max="5" width="58" customWidth="1"/>
    <col min="6" max="6" width="10" customWidth="1"/>
    <col min="7" max="7" width="28" customWidth="1"/>
  </cols>
  <sheetData>
    <row r="1" spans="1:7">
      <c r="A1" s="7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9" t="s">
        <v>31</v>
      </c>
    </row>
    <row r="2" spans="1:7">
      <c r="A2" s="1" t="s">
        <v>32</v>
      </c>
      <c r="B2" s="2" t="s">
        <v>33</v>
      </c>
      <c r="C2" s="10">
        <v>30</v>
      </c>
      <c r="D2" s="2" t="s">
        <v>34</v>
      </c>
      <c r="E2" s="2" t="s">
        <v>35</v>
      </c>
      <c r="F2" s="2">
        <v>1</v>
      </c>
      <c r="G2" s="3" t="s">
        <v>36</v>
      </c>
    </row>
    <row r="3" spans="1:7" ht="27.6">
      <c r="A3" s="1" t="s">
        <v>37</v>
      </c>
      <c r="B3" s="2" t="s">
        <v>38</v>
      </c>
      <c r="C3" s="10">
        <v>7</v>
      </c>
      <c r="D3" s="2" t="s">
        <v>39</v>
      </c>
      <c r="E3" s="2" t="s">
        <v>40</v>
      </c>
      <c r="F3" s="2">
        <v>2</v>
      </c>
      <c r="G3" s="3" t="s">
        <v>41</v>
      </c>
    </row>
    <row r="4" spans="1:7">
      <c r="A4" s="1" t="s">
        <v>42</v>
      </c>
      <c r="B4" s="2" t="s">
        <v>43</v>
      </c>
      <c r="C4" s="10">
        <v>11</v>
      </c>
      <c r="D4" s="2" t="s">
        <v>44</v>
      </c>
      <c r="E4" s="2" t="s">
        <v>45</v>
      </c>
      <c r="F4" s="2">
        <v>3</v>
      </c>
      <c r="G4" s="3" t="s">
        <v>46</v>
      </c>
    </row>
    <row r="5" spans="1:7">
      <c r="A5" s="1" t="s">
        <v>47</v>
      </c>
      <c r="B5" s="2" t="s">
        <v>48</v>
      </c>
      <c r="C5" s="10"/>
      <c r="D5" s="2" t="s">
        <v>49</v>
      </c>
      <c r="E5" s="2" t="s">
        <v>50</v>
      </c>
      <c r="F5" s="2">
        <v>4</v>
      </c>
      <c r="G5" s="3" t="s">
        <v>46</v>
      </c>
    </row>
    <row r="6" spans="1:7" ht="27.6">
      <c r="A6" s="1" t="s">
        <v>51</v>
      </c>
      <c r="B6" s="2" t="s">
        <v>52</v>
      </c>
      <c r="C6" s="10"/>
      <c r="D6" s="2" t="s">
        <v>53</v>
      </c>
      <c r="E6" s="2" t="s">
        <v>54</v>
      </c>
      <c r="F6" s="2">
        <v>5</v>
      </c>
      <c r="G6" s="3" t="s">
        <v>55</v>
      </c>
    </row>
    <row r="7" spans="1:7">
      <c r="A7" s="4" t="s">
        <v>56</v>
      </c>
      <c r="B7" s="5" t="s">
        <v>57</v>
      </c>
      <c r="C7" s="11"/>
      <c r="D7" s="5" t="s">
        <v>58</v>
      </c>
      <c r="E7" s="5" t="s">
        <v>59</v>
      </c>
      <c r="F7" s="5">
        <v>6</v>
      </c>
      <c r="G7" s="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/>
  </sheetViews>
  <sheetFormatPr baseColWidth="10" defaultColWidth="8.796875" defaultRowHeight="13.8"/>
  <cols>
    <col min="1" max="1" width="13" customWidth="1"/>
    <col min="2" max="2" width="16" customWidth="1"/>
    <col min="3" max="3" width="30" customWidth="1"/>
    <col min="4" max="4" width="12" customWidth="1"/>
    <col min="5" max="5" width="16" customWidth="1"/>
    <col min="6" max="6" width="62" customWidth="1"/>
    <col min="7" max="7" width="20" customWidth="1"/>
    <col min="8" max="8" width="10" customWidth="1"/>
  </cols>
  <sheetData>
    <row r="1" spans="1:8" ht="27.6">
      <c r="A1" s="7" t="s">
        <v>60</v>
      </c>
      <c r="B1" s="8" t="s">
        <v>61</v>
      </c>
      <c r="C1" s="8" t="s">
        <v>62</v>
      </c>
      <c r="D1" s="8" t="s">
        <v>63</v>
      </c>
      <c r="E1" s="8" t="s">
        <v>64</v>
      </c>
      <c r="F1" s="8" t="s">
        <v>65</v>
      </c>
      <c r="G1" s="8" t="s">
        <v>66</v>
      </c>
      <c r="H1" s="9" t="s">
        <v>30</v>
      </c>
    </row>
    <row r="2" spans="1:8">
      <c r="A2" s="1" t="s">
        <v>67</v>
      </c>
      <c r="B2" s="2" t="s">
        <v>68</v>
      </c>
      <c r="C2" s="2" t="s">
        <v>69</v>
      </c>
      <c r="D2" s="10">
        <v>95</v>
      </c>
      <c r="E2" s="2" t="s">
        <v>70</v>
      </c>
      <c r="F2" s="2" t="s">
        <v>71</v>
      </c>
      <c r="G2" s="2" t="s">
        <v>72</v>
      </c>
      <c r="H2" s="3">
        <v>1</v>
      </c>
    </row>
    <row r="3" spans="1:8">
      <c r="A3" s="1" t="s">
        <v>73</v>
      </c>
      <c r="B3" s="2" t="s">
        <v>68</v>
      </c>
      <c r="C3" s="2" t="s">
        <v>74</v>
      </c>
      <c r="D3" s="10">
        <v>90</v>
      </c>
      <c r="E3" s="2" t="s">
        <v>70</v>
      </c>
      <c r="F3" s="2" t="s">
        <v>75</v>
      </c>
      <c r="G3" s="2" t="s">
        <v>72</v>
      </c>
      <c r="H3" s="3">
        <v>2</v>
      </c>
    </row>
    <row r="4" spans="1:8">
      <c r="A4" s="1" t="s">
        <v>76</v>
      </c>
      <c r="B4" s="2" t="s">
        <v>68</v>
      </c>
      <c r="C4" s="2" t="s">
        <v>77</v>
      </c>
      <c r="D4" s="10">
        <v>90</v>
      </c>
      <c r="E4" s="2" t="s">
        <v>70</v>
      </c>
      <c r="F4" s="2" t="s">
        <v>78</v>
      </c>
      <c r="G4" s="2" t="s">
        <v>72</v>
      </c>
      <c r="H4" s="3">
        <v>3</v>
      </c>
    </row>
    <row r="5" spans="1:8">
      <c r="A5" s="1" t="s">
        <v>79</v>
      </c>
      <c r="B5" s="2" t="s">
        <v>49</v>
      </c>
      <c r="C5" s="2" t="s">
        <v>80</v>
      </c>
      <c r="D5" s="10">
        <v>80</v>
      </c>
      <c r="E5" s="2" t="s">
        <v>81</v>
      </c>
      <c r="F5" s="2" t="s">
        <v>82</v>
      </c>
      <c r="G5" s="2" t="s">
        <v>72</v>
      </c>
      <c r="H5" s="3">
        <v>4</v>
      </c>
    </row>
    <row r="6" spans="1:8">
      <c r="A6" s="1" t="s">
        <v>83</v>
      </c>
      <c r="B6" s="2" t="s">
        <v>49</v>
      </c>
      <c r="C6" s="2" t="s">
        <v>84</v>
      </c>
      <c r="D6" s="10">
        <v>80</v>
      </c>
      <c r="E6" s="2" t="s">
        <v>81</v>
      </c>
      <c r="F6" s="2" t="s">
        <v>85</v>
      </c>
      <c r="G6" s="2" t="s">
        <v>72</v>
      </c>
      <c r="H6" s="3">
        <v>5</v>
      </c>
    </row>
    <row r="7" spans="1:8">
      <c r="A7" s="1" t="s">
        <v>86</v>
      </c>
      <c r="B7" s="2" t="s">
        <v>49</v>
      </c>
      <c r="C7" s="2" t="s">
        <v>58</v>
      </c>
      <c r="D7" s="10">
        <v>75</v>
      </c>
      <c r="E7" s="2" t="s">
        <v>87</v>
      </c>
      <c r="F7" s="2" t="s">
        <v>88</v>
      </c>
      <c r="G7" s="2" t="s">
        <v>72</v>
      </c>
      <c r="H7" s="3">
        <v>6</v>
      </c>
    </row>
    <row r="8" spans="1:8">
      <c r="A8" s="1" t="s">
        <v>89</v>
      </c>
      <c r="B8" s="2" t="s">
        <v>49</v>
      </c>
      <c r="C8" s="2" t="s">
        <v>90</v>
      </c>
      <c r="D8" s="10">
        <v>75</v>
      </c>
      <c r="E8" s="2" t="s">
        <v>87</v>
      </c>
      <c r="F8" s="2" t="s">
        <v>91</v>
      </c>
      <c r="G8" s="2" t="s">
        <v>72</v>
      </c>
      <c r="H8" s="3">
        <v>7</v>
      </c>
    </row>
    <row r="9" spans="1:8">
      <c r="A9" s="1" t="s">
        <v>92</v>
      </c>
      <c r="B9" s="2" t="s">
        <v>49</v>
      </c>
      <c r="C9" s="2" t="s">
        <v>93</v>
      </c>
      <c r="D9" s="10">
        <v>80</v>
      </c>
      <c r="E9" s="2" t="s">
        <v>81</v>
      </c>
      <c r="F9" s="2" t="s">
        <v>94</v>
      </c>
      <c r="G9" s="2" t="s">
        <v>72</v>
      </c>
      <c r="H9" s="3">
        <v>8</v>
      </c>
    </row>
    <row r="10" spans="1:8">
      <c r="A10" s="1" t="s">
        <v>95</v>
      </c>
      <c r="B10" s="2" t="s">
        <v>96</v>
      </c>
      <c r="C10" s="2" t="s">
        <v>97</v>
      </c>
      <c r="D10" s="10">
        <v>75</v>
      </c>
      <c r="E10" s="2" t="s">
        <v>87</v>
      </c>
      <c r="F10" s="2" t="s">
        <v>98</v>
      </c>
      <c r="G10" s="2" t="s">
        <v>99</v>
      </c>
      <c r="H10" s="3">
        <v>9</v>
      </c>
    </row>
    <row r="11" spans="1:8">
      <c r="A11" s="1" t="s">
        <v>100</v>
      </c>
      <c r="B11" s="2" t="s">
        <v>101</v>
      </c>
      <c r="C11" s="2" t="s">
        <v>102</v>
      </c>
      <c r="D11" s="10">
        <v>95</v>
      </c>
      <c r="E11" s="2" t="s">
        <v>70</v>
      </c>
      <c r="F11" s="2" t="s">
        <v>103</v>
      </c>
      <c r="G11" s="2" t="s">
        <v>99</v>
      </c>
      <c r="H11" s="3">
        <v>10</v>
      </c>
    </row>
    <row r="12" spans="1:8">
      <c r="A12" s="4" t="s">
        <v>104</v>
      </c>
      <c r="B12" s="5" t="s">
        <v>101</v>
      </c>
      <c r="C12" s="5" t="s">
        <v>105</v>
      </c>
      <c r="D12" s="11">
        <v>90</v>
      </c>
      <c r="E12" s="5" t="s">
        <v>70</v>
      </c>
      <c r="F12" s="5" t="s">
        <v>106</v>
      </c>
      <c r="G12" s="5" t="s">
        <v>99</v>
      </c>
      <c r="H12" s="6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F15" sqref="F15"/>
    </sheetView>
  </sheetViews>
  <sheetFormatPr baseColWidth="10" defaultColWidth="8.796875" defaultRowHeight="13.8"/>
  <cols>
    <col min="1" max="1" width="12" customWidth="1"/>
    <col min="2" max="3" width="10" customWidth="1"/>
    <col min="4" max="4" width="18" customWidth="1"/>
    <col min="5" max="5" width="38" customWidth="1"/>
    <col min="6" max="6" width="76" customWidth="1"/>
    <col min="7" max="7" width="22" customWidth="1"/>
    <col min="8" max="8" width="10" customWidth="1"/>
  </cols>
  <sheetData>
    <row r="1" spans="1:8">
      <c r="A1" s="7" t="s">
        <v>107</v>
      </c>
      <c r="B1" s="8" t="s">
        <v>108</v>
      </c>
      <c r="C1" s="8" t="s">
        <v>109</v>
      </c>
      <c r="D1" s="8" t="s">
        <v>110</v>
      </c>
      <c r="E1" s="8" t="s">
        <v>111</v>
      </c>
      <c r="F1" s="8" t="s">
        <v>112</v>
      </c>
      <c r="G1" s="8" t="s">
        <v>113</v>
      </c>
      <c r="H1" s="9" t="s">
        <v>30</v>
      </c>
    </row>
    <row r="2" spans="1:8">
      <c r="A2" s="1" t="s">
        <v>114</v>
      </c>
      <c r="B2" s="10">
        <v>1985</v>
      </c>
      <c r="C2" s="10">
        <v>1994</v>
      </c>
      <c r="D2" s="2" t="s">
        <v>115</v>
      </c>
      <c r="E2" s="2" t="s">
        <v>116</v>
      </c>
      <c r="F2" s="2" t="s">
        <v>117</v>
      </c>
      <c r="G2" s="2" t="s">
        <v>118</v>
      </c>
      <c r="H2" s="3">
        <v>1</v>
      </c>
    </row>
    <row r="3" spans="1:8" ht="27.6">
      <c r="A3" s="1" t="s">
        <v>119</v>
      </c>
      <c r="B3" s="10">
        <v>1994</v>
      </c>
      <c r="C3" s="10">
        <v>2002</v>
      </c>
      <c r="D3" s="2" t="s">
        <v>120</v>
      </c>
      <c r="E3" s="2" t="s">
        <v>121</v>
      </c>
      <c r="F3" s="2" t="s">
        <v>291</v>
      </c>
      <c r="G3" s="2" t="s">
        <v>118</v>
      </c>
      <c r="H3" s="3">
        <v>2</v>
      </c>
    </row>
    <row r="4" spans="1:8" ht="27.6">
      <c r="A4" s="1" t="s">
        <v>122</v>
      </c>
      <c r="B4" s="10">
        <v>2002</v>
      </c>
      <c r="C4" s="10">
        <v>2016</v>
      </c>
      <c r="D4" s="2" t="s">
        <v>123</v>
      </c>
      <c r="E4" s="2" t="s">
        <v>124</v>
      </c>
      <c r="F4" s="2" t="s">
        <v>292</v>
      </c>
      <c r="G4" s="2" t="s">
        <v>118</v>
      </c>
      <c r="H4" s="3">
        <v>3</v>
      </c>
    </row>
    <row r="5" spans="1:8">
      <c r="A5" s="1" t="s">
        <v>125</v>
      </c>
      <c r="B5" s="10">
        <v>2016</v>
      </c>
      <c r="C5" s="10">
        <v>2022</v>
      </c>
      <c r="D5" s="2" t="s">
        <v>126</v>
      </c>
      <c r="E5" s="2" t="s">
        <v>127</v>
      </c>
      <c r="F5" s="2" t="s">
        <v>128</v>
      </c>
      <c r="G5" s="2" t="s">
        <v>118</v>
      </c>
      <c r="H5" s="3">
        <v>4</v>
      </c>
    </row>
    <row r="6" spans="1:8" ht="27.6">
      <c r="A6" s="1" t="s">
        <v>129</v>
      </c>
      <c r="B6" s="10">
        <v>2021</v>
      </c>
      <c r="C6" s="10">
        <v>2022</v>
      </c>
      <c r="D6" s="2" t="s">
        <v>130</v>
      </c>
      <c r="E6" s="2" t="s">
        <v>131</v>
      </c>
      <c r="F6" s="2" t="s">
        <v>293</v>
      </c>
      <c r="G6" s="2" t="s">
        <v>132</v>
      </c>
      <c r="H6" s="3">
        <v>5</v>
      </c>
    </row>
    <row r="7" spans="1:8">
      <c r="A7" s="1" t="s">
        <v>133</v>
      </c>
      <c r="B7" s="10">
        <v>2022</v>
      </c>
      <c r="C7" s="10">
        <v>2025</v>
      </c>
      <c r="D7" s="2" t="s">
        <v>134</v>
      </c>
      <c r="E7" s="2" t="s">
        <v>135</v>
      </c>
      <c r="F7" s="2" t="s">
        <v>294</v>
      </c>
      <c r="G7" s="2" t="s">
        <v>118</v>
      </c>
      <c r="H7" s="3">
        <v>6</v>
      </c>
    </row>
    <row r="8" spans="1:8" ht="27.6">
      <c r="A8" s="1" t="s">
        <v>136</v>
      </c>
      <c r="B8" s="10">
        <v>2025</v>
      </c>
      <c r="C8" s="10">
        <v>2026</v>
      </c>
      <c r="D8" s="2" t="s">
        <v>137</v>
      </c>
      <c r="E8" s="2" t="s">
        <v>138</v>
      </c>
      <c r="F8" s="2" t="s">
        <v>295</v>
      </c>
      <c r="G8" s="2" t="s">
        <v>139</v>
      </c>
      <c r="H8" s="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baseColWidth="10" defaultColWidth="8.796875" defaultRowHeight="13.8"/>
  <cols>
    <col min="1" max="1" width="11" customWidth="1"/>
    <col min="2" max="2" width="10" customWidth="1"/>
    <col min="3" max="3" width="45" customWidth="1"/>
    <col min="4" max="4" width="30" customWidth="1"/>
    <col min="5" max="5" width="28" customWidth="1"/>
    <col min="6" max="6" width="42" customWidth="1"/>
    <col min="7" max="7" width="58" customWidth="1"/>
    <col min="8" max="8" width="18" customWidth="1"/>
    <col min="9" max="9" width="10" customWidth="1"/>
  </cols>
  <sheetData>
    <row r="1" spans="1:9" ht="27.6">
      <c r="A1" s="7" t="s">
        <v>140</v>
      </c>
      <c r="B1" s="8" t="s">
        <v>141</v>
      </c>
      <c r="C1" s="8" t="s">
        <v>142</v>
      </c>
      <c r="D1" s="8" t="s">
        <v>143</v>
      </c>
      <c r="E1" s="8" t="s">
        <v>144</v>
      </c>
      <c r="F1" s="8" t="s">
        <v>145</v>
      </c>
      <c r="G1" s="8" t="s">
        <v>146</v>
      </c>
      <c r="H1" s="8" t="s">
        <v>147</v>
      </c>
      <c r="I1" s="9" t="s">
        <v>30</v>
      </c>
    </row>
    <row r="2" spans="1:9" ht="27.6">
      <c r="A2" s="1" t="s">
        <v>148</v>
      </c>
      <c r="B2" s="2" t="s">
        <v>148</v>
      </c>
      <c r="C2" s="2" t="s">
        <v>149</v>
      </c>
      <c r="D2" s="2" t="s">
        <v>150</v>
      </c>
      <c r="E2" s="2" t="s">
        <v>151</v>
      </c>
      <c r="F2" s="2" t="s">
        <v>152</v>
      </c>
      <c r="G2" s="2" t="s">
        <v>153</v>
      </c>
      <c r="H2" s="10">
        <v>90</v>
      </c>
      <c r="I2" s="3">
        <v>1</v>
      </c>
    </row>
    <row r="3" spans="1:9">
      <c r="A3" s="1" t="s">
        <v>154</v>
      </c>
      <c r="B3" s="2" t="s">
        <v>154</v>
      </c>
      <c r="C3" s="2" t="s">
        <v>155</v>
      </c>
      <c r="D3" s="2" t="s">
        <v>156</v>
      </c>
      <c r="E3" s="2" t="s">
        <v>157</v>
      </c>
      <c r="F3" s="2" t="s">
        <v>158</v>
      </c>
      <c r="G3" s="2" t="s">
        <v>159</v>
      </c>
      <c r="H3" s="10">
        <v>95</v>
      </c>
      <c r="I3" s="3">
        <v>2</v>
      </c>
    </row>
    <row r="4" spans="1:9">
      <c r="A4" s="1" t="s">
        <v>160</v>
      </c>
      <c r="B4" s="2" t="s">
        <v>160</v>
      </c>
      <c r="C4" s="2" t="s">
        <v>161</v>
      </c>
      <c r="D4" s="2" t="s">
        <v>162</v>
      </c>
      <c r="E4" s="2" t="s">
        <v>163</v>
      </c>
      <c r="F4" s="2" t="s">
        <v>164</v>
      </c>
      <c r="G4" s="2" t="s">
        <v>165</v>
      </c>
      <c r="H4" s="10">
        <v>88</v>
      </c>
      <c r="I4" s="3">
        <v>3</v>
      </c>
    </row>
    <row r="5" spans="1:9" ht="27.6">
      <c r="A5" s="4" t="s">
        <v>166</v>
      </c>
      <c r="B5" s="5" t="s">
        <v>166</v>
      </c>
      <c r="C5" s="5" t="s">
        <v>167</v>
      </c>
      <c r="D5" s="5" t="s">
        <v>168</v>
      </c>
      <c r="E5" s="5" t="s">
        <v>169</v>
      </c>
      <c r="F5" s="5" t="s">
        <v>170</v>
      </c>
      <c r="G5" s="5" t="s">
        <v>171</v>
      </c>
      <c r="H5" s="11">
        <v>92</v>
      </c>
      <c r="I5" s="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topLeftCell="F1" workbookViewId="0">
      <selection activeCell="J2" sqref="J2"/>
    </sheetView>
  </sheetViews>
  <sheetFormatPr baseColWidth="10" defaultColWidth="8.796875" defaultRowHeight="13.8"/>
  <cols>
    <col min="1" max="1" width="12" customWidth="1"/>
    <col min="2" max="2" width="25" customWidth="1"/>
    <col min="3" max="3" width="70" customWidth="1"/>
    <col min="4" max="4" width="35" customWidth="1"/>
    <col min="5" max="5" width="16" customWidth="1"/>
    <col min="6" max="6" width="10" customWidth="1"/>
    <col min="7" max="7" width="30.5" bestFit="1" customWidth="1"/>
    <col min="8" max="8" width="24.19921875" customWidth="1"/>
  </cols>
  <sheetData>
    <row r="1" spans="1:8">
      <c r="A1" s="7" t="s">
        <v>172</v>
      </c>
      <c r="B1" s="8" t="s">
        <v>173</v>
      </c>
      <c r="C1" s="8" t="s">
        <v>112</v>
      </c>
      <c r="D1" s="8" t="s">
        <v>174</v>
      </c>
      <c r="E1" s="8" t="s">
        <v>175</v>
      </c>
      <c r="F1" s="9" t="s">
        <v>30</v>
      </c>
      <c r="G1" s="12" t="s">
        <v>296</v>
      </c>
      <c r="H1" s="12" t="s">
        <v>147</v>
      </c>
    </row>
    <row r="2" spans="1:8">
      <c r="A2" s="1" t="s">
        <v>176</v>
      </c>
      <c r="B2" s="2" t="s">
        <v>177</v>
      </c>
      <c r="C2" s="2" t="s">
        <v>178</v>
      </c>
      <c r="D2" s="2" t="s">
        <v>179</v>
      </c>
      <c r="E2" s="2" t="s">
        <v>180</v>
      </c>
      <c r="F2" s="3">
        <v>1</v>
      </c>
      <c r="G2" t="s">
        <v>297</v>
      </c>
      <c r="H2" s="25">
        <v>95</v>
      </c>
    </row>
    <row r="3" spans="1:8">
      <c r="A3" s="1" t="s">
        <v>181</v>
      </c>
      <c r="B3" s="2" t="s">
        <v>182</v>
      </c>
      <c r="C3" s="2" t="s">
        <v>183</v>
      </c>
      <c r="D3" s="2" t="s">
        <v>184</v>
      </c>
      <c r="E3" s="2" t="s">
        <v>185</v>
      </c>
      <c r="F3" s="3">
        <v>2</v>
      </c>
      <c r="G3" t="s">
        <v>298</v>
      </c>
      <c r="H3" s="25">
        <v>92</v>
      </c>
    </row>
    <row r="4" spans="1:8">
      <c r="A4" s="1" t="s">
        <v>186</v>
      </c>
      <c r="B4" s="2" t="s">
        <v>187</v>
      </c>
      <c r="C4" s="2" t="s">
        <v>188</v>
      </c>
      <c r="D4" s="2" t="s">
        <v>189</v>
      </c>
      <c r="E4" s="2" t="s">
        <v>190</v>
      </c>
      <c r="F4" s="3">
        <v>3</v>
      </c>
      <c r="G4" t="s">
        <v>299</v>
      </c>
      <c r="H4" s="25">
        <v>90</v>
      </c>
    </row>
    <row r="5" spans="1:8">
      <c r="A5" s="1" t="s">
        <v>191</v>
      </c>
      <c r="B5" s="2" t="s">
        <v>192</v>
      </c>
      <c r="C5" s="2" t="s">
        <v>193</v>
      </c>
      <c r="D5" s="2" t="s">
        <v>36</v>
      </c>
      <c r="E5" s="2" t="s">
        <v>194</v>
      </c>
      <c r="F5" s="3">
        <v>4</v>
      </c>
      <c r="G5" t="s">
        <v>300</v>
      </c>
      <c r="H5" s="25">
        <v>88</v>
      </c>
    </row>
    <row r="6" spans="1:8">
      <c r="A6" s="4" t="s">
        <v>195</v>
      </c>
      <c r="B6" s="5" t="s">
        <v>196</v>
      </c>
      <c r="C6" s="5" t="s">
        <v>197</v>
      </c>
      <c r="D6" s="5" t="s">
        <v>198</v>
      </c>
      <c r="E6" s="5" t="s">
        <v>199</v>
      </c>
      <c r="F6" s="6">
        <v>5</v>
      </c>
      <c r="G6" t="s">
        <v>301</v>
      </c>
      <c r="H6" s="25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92" customWidth="1"/>
    <col min="4" max="4" width="28" customWidth="1"/>
  </cols>
  <sheetData>
    <row r="1" spans="1:4">
      <c r="A1" s="7" t="s">
        <v>200</v>
      </c>
      <c r="B1" s="8" t="s">
        <v>201</v>
      </c>
      <c r="C1" s="8" t="s">
        <v>202</v>
      </c>
      <c r="D1" s="9" t="s">
        <v>203</v>
      </c>
    </row>
    <row r="2" spans="1:4" ht="27.6">
      <c r="A2" s="1" t="s">
        <v>204</v>
      </c>
      <c r="B2" s="2" t="s">
        <v>48</v>
      </c>
      <c r="C2" s="2" t="s">
        <v>205</v>
      </c>
      <c r="D2" s="3" t="s">
        <v>206</v>
      </c>
    </row>
    <row r="3" spans="1:4" ht="27.6">
      <c r="A3" s="1" t="s">
        <v>207</v>
      </c>
      <c r="B3" s="2" t="s">
        <v>208</v>
      </c>
      <c r="C3" s="2" t="s">
        <v>209</v>
      </c>
      <c r="D3" s="3" t="s">
        <v>210</v>
      </c>
    </row>
    <row r="4" spans="1:4" ht="27.6">
      <c r="A4" s="1" t="s">
        <v>211</v>
      </c>
      <c r="B4" s="2" t="s">
        <v>57</v>
      </c>
      <c r="C4" s="2" t="s">
        <v>212</v>
      </c>
      <c r="D4" s="3" t="s">
        <v>213</v>
      </c>
    </row>
    <row r="5" spans="1:4" ht="27.6">
      <c r="A5" s="4" t="s">
        <v>214</v>
      </c>
      <c r="B5" s="5" t="s">
        <v>215</v>
      </c>
      <c r="C5" s="5" t="s">
        <v>216</v>
      </c>
      <c r="D5" s="6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baseColWidth="10" defaultColWidth="8.796875" defaultRowHeight="13.8"/>
  <cols>
    <col min="1" max="1" width="12" customWidth="1"/>
    <col min="2" max="2" width="30" customWidth="1"/>
    <col min="3" max="3" width="58" customWidth="1"/>
    <col min="4" max="4" width="45" customWidth="1"/>
  </cols>
  <sheetData>
    <row r="1" spans="1:4">
      <c r="A1" s="7" t="s">
        <v>218</v>
      </c>
      <c r="B1" s="8" t="s">
        <v>31</v>
      </c>
      <c r="C1" s="8" t="s">
        <v>219</v>
      </c>
      <c r="D1" s="9" t="s">
        <v>220</v>
      </c>
    </row>
    <row r="2" spans="1:4">
      <c r="A2" s="1" t="s">
        <v>221</v>
      </c>
      <c r="B2" s="2" t="s">
        <v>222</v>
      </c>
      <c r="C2" s="2" t="s">
        <v>71</v>
      </c>
      <c r="D2" s="3" t="s">
        <v>223</v>
      </c>
    </row>
    <row r="3" spans="1:4">
      <c r="A3" s="1" t="s">
        <v>224</v>
      </c>
      <c r="B3" s="2" t="s">
        <v>222</v>
      </c>
      <c r="C3" s="2" t="s">
        <v>103</v>
      </c>
      <c r="D3" s="3" t="s">
        <v>223</v>
      </c>
    </row>
    <row r="4" spans="1:4">
      <c r="A4" s="1" t="s">
        <v>225</v>
      </c>
      <c r="B4" s="2" t="s">
        <v>222</v>
      </c>
      <c r="C4" s="2" t="s">
        <v>226</v>
      </c>
      <c r="D4" s="3" t="s">
        <v>223</v>
      </c>
    </row>
    <row r="5" spans="1:4">
      <c r="A5" s="1" t="s">
        <v>227</v>
      </c>
      <c r="B5" s="2" t="s">
        <v>228</v>
      </c>
      <c r="C5" s="2" t="s">
        <v>229</v>
      </c>
      <c r="D5" s="3" t="s">
        <v>41</v>
      </c>
    </row>
    <row r="6" spans="1:4">
      <c r="A6" s="1" t="s">
        <v>230</v>
      </c>
      <c r="B6" s="2" t="s">
        <v>55</v>
      </c>
      <c r="C6" s="2" t="s">
        <v>231</v>
      </c>
      <c r="D6" s="3" t="s">
        <v>232</v>
      </c>
    </row>
    <row r="7" spans="1:4">
      <c r="A7" s="1" t="s">
        <v>233</v>
      </c>
      <c r="B7" s="2" t="s">
        <v>55</v>
      </c>
      <c r="C7" s="2" t="s">
        <v>234</v>
      </c>
      <c r="D7" s="3" t="s">
        <v>232</v>
      </c>
    </row>
    <row r="8" spans="1:4">
      <c r="A8" s="4" t="s">
        <v>235</v>
      </c>
      <c r="B8" s="5" t="s">
        <v>55</v>
      </c>
      <c r="C8" s="5" t="s">
        <v>236</v>
      </c>
      <c r="D8" s="6" t="s">
        <v>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/>
  </sheetViews>
  <sheetFormatPr baseColWidth="10" defaultColWidth="8.796875" defaultRowHeight="13.8"/>
  <cols>
    <col min="1" max="1" width="18" customWidth="1"/>
    <col min="2" max="2" width="32" customWidth="1"/>
    <col min="3" max="4" width="58" customWidth="1"/>
  </cols>
  <sheetData>
    <row r="1" spans="1:4">
      <c r="A1" s="7" t="s">
        <v>237</v>
      </c>
      <c r="B1" s="8" t="s">
        <v>238</v>
      </c>
      <c r="C1" s="8" t="s">
        <v>239</v>
      </c>
      <c r="D1" s="9" t="s">
        <v>240</v>
      </c>
    </row>
    <row r="2" spans="1:4" ht="27.6">
      <c r="A2" s="1" t="s">
        <v>241</v>
      </c>
      <c r="B2" s="2" t="s">
        <v>242</v>
      </c>
      <c r="C2" s="2" t="s">
        <v>243</v>
      </c>
      <c r="D2" s="3" t="s">
        <v>244</v>
      </c>
    </row>
    <row r="3" spans="1:4">
      <c r="A3" s="1" t="s">
        <v>245</v>
      </c>
      <c r="B3" s="2" t="s">
        <v>33</v>
      </c>
      <c r="C3" s="2" t="s">
        <v>246</v>
      </c>
      <c r="D3" s="3" t="s">
        <v>247</v>
      </c>
    </row>
    <row r="4" spans="1:4">
      <c r="A4" s="1" t="s">
        <v>245</v>
      </c>
      <c r="B4" s="2" t="s">
        <v>38</v>
      </c>
      <c r="C4" s="2" t="s">
        <v>248</v>
      </c>
      <c r="D4" s="3" t="s">
        <v>249</v>
      </c>
    </row>
    <row r="5" spans="1:4">
      <c r="A5" s="1" t="s">
        <v>245</v>
      </c>
      <c r="B5" s="2" t="s">
        <v>43</v>
      </c>
      <c r="C5" s="2" t="s">
        <v>250</v>
      </c>
      <c r="D5" s="3" t="s">
        <v>251</v>
      </c>
    </row>
    <row r="6" spans="1:4">
      <c r="A6" s="1" t="s">
        <v>245</v>
      </c>
      <c r="B6" s="2" t="s">
        <v>48</v>
      </c>
      <c r="C6" s="2" t="s">
        <v>252</v>
      </c>
      <c r="D6" s="3" t="s">
        <v>253</v>
      </c>
    </row>
    <row r="7" spans="1:4">
      <c r="A7" s="1" t="s">
        <v>254</v>
      </c>
      <c r="B7" s="2" t="s">
        <v>255</v>
      </c>
      <c r="C7" s="2" t="s">
        <v>256</v>
      </c>
      <c r="D7" s="3" t="s">
        <v>257</v>
      </c>
    </row>
    <row r="8" spans="1:4">
      <c r="A8" s="1" t="s">
        <v>254</v>
      </c>
      <c r="B8" s="2" t="s">
        <v>258</v>
      </c>
      <c r="C8" s="2" t="s">
        <v>259</v>
      </c>
      <c r="D8" s="3" t="s">
        <v>260</v>
      </c>
    </row>
    <row r="9" spans="1:4" ht="27.6">
      <c r="A9" s="1" t="s">
        <v>261</v>
      </c>
      <c r="B9" s="2" t="s">
        <v>262</v>
      </c>
      <c r="C9" s="2" t="s">
        <v>263</v>
      </c>
      <c r="D9" s="3" t="s">
        <v>264</v>
      </c>
    </row>
    <row r="10" spans="1:4">
      <c r="A10" s="1" t="s">
        <v>265</v>
      </c>
      <c r="B10" s="2" t="s">
        <v>266</v>
      </c>
      <c r="C10" s="2" t="s">
        <v>267</v>
      </c>
      <c r="D10" s="3" t="s">
        <v>268</v>
      </c>
    </row>
    <row r="11" spans="1:4">
      <c r="A11" s="1" t="s">
        <v>265</v>
      </c>
      <c r="B11" s="2" t="s">
        <v>269</v>
      </c>
      <c r="C11" s="2" t="s">
        <v>270</v>
      </c>
      <c r="D11" s="3" t="s">
        <v>271</v>
      </c>
    </row>
    <row r="12" spans="1:4">
      <c r="A12" s="1" t="s">
        <v>272</v>
      </c>
      <c r="B12" s="2" t="s">
        <v>208</v>
      </c>
      <c r="C12" s="2" t="s">
        <v>273</v>
      </c>
      <c r="D12" s="3" t="s">
        <v>274</v>
      </c>
    </row>
    <row r="13" spans="1:4">
      <c r="A13" s="1" t="s">
        <v>275</v>
      </c>
      <c r="B13" s="2" t="s">
        <v>276</v>
      </c>
      <c r="C13" s="2" t="s">
        <v>277</v>
      </c>
      <c r="D13" s="3" t="s">
        <v>278</v>
      </c>
    </row>
    <row r="14" spans="1:4">
      <c r="A14" s="1" t="s">
        <v>275</v>
      </c>
      <c r="B14" s="2" t="s">
        <v>279</v>
      </c>
      <c r="C14" s="2" t="s">
        <v>280</v>
      </c>
      <c r="D14" s="3" t="s">
        <v>278</v>
      </c>
    </row>
    <row r="15" spans="1:4" ht="41.4">
      <c r="A15" s="4" t="s">
        <v>275</v>
      </c>
      <c r="B15" s="5" t="s">
        <v>281</v>
      </c>
      <c r="C15" s="5" t="s">
        <v>282</v>
      </c>
      <c r="D15" s="6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baseColWidth="10" defaultColWidth="8.796875" defaultRowHeight="13.8"/>
  <cols>
    <col min="1" max="1" width="34" customWidth="1"/>
    <col min="2" max="2" width="18" customWidth="1"/>
    <col min="3" max="3" width="35" customWidth="1"/>
  </cols>
  <sheetData>
    <row r="1" spans="1:3">
      <c r="A1" s="7" t="s">
        <v>283</v>
      </c>
      <c r="B1" s="8" t="s">
        <v>284</v>
      </c>
      <c r="C1" s="9" t="s">
        <v>285</v>
      </c>
    </row>
    <row r="2" spans="1:3">
      <c r="A2" s="1" t="s">
        <v>286</v>
      </c>
      <c r="B2" s="2">
        <v>6</v>
      </c>
      <c r="C2" s="3">
        <f>COUNTA(Profil_KPI!A2:A7)</f>
        <v>6</v>
      </c>
    </row>
    <row r="3" spans="1:3">
      <c r="A3" s="1" t="s">
        <v>287</v>
      </c>
      <c r="B3" s="2">
        <v>11</v>
      </c>
      <c r="C3" s="3">
        <f>COUNTA(Competences!A2:A12)</f>
        <v>11</v>
      </c>
    </row>
    <row r="4" spans="1:3">
      <c r="A4" s="1" t="s">
        <v>288</v>
      </c>
      <c r="B4" s="2">
        <v>8</v>
      </c>
      <c r="C4" s="3">
        <f>COUNTA(Chronologie!A2:A8)</f>
        <v>7</v>
      </c>
    </row>
    <row r="5" spans="1:3">
      <c r="A5" s="1" t="s">
        <v>289</v>
      </c>
      <c r="B5" s="2">
        <v>4</v>
      </c>
      <c r="C5" s="3">
        <f>COUNTA(Projets_Phares!A2:A5)</f>
        <v>4</v>
      </c>
    </row>
    <row r="6" spans="1:3">
      <c r="A6" s="4" t="s">
        <v>290</v>
      </c>
      <c r="B6" s="5">
        <v>5</v>
      </c>
      <c r="C6" s="6">
        <f>COUNTA(Atouts!A2:A6)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Mode_emploi</vt:lpstr>
      <vt:lpstr>Profil_KPI</vt:lpstr>
      <vt:lpstr>Competences</vt:lpstr>
      <vt:lpstr>Chronologie</vt:lpstr>
      <vt:lpstr>Projets_Phares</vt:lpstr>
      <vt:lpstr>Atouts</vt:lpstr>
      <vt:lpstr>Objectif</vt:lpstr>
      <vt:lpstr>Sources_Preuve</vt:lpstr>
      <vt:lpstr>Modele_PowerBI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Da Costa</dc:creator>
  <cp:lastModifiedBy>Henrique Da Costa</cp:lastModifiedBy>
  <dcterms:created xsi:type="dcterms:W3CDTF">2026-07-01T17:52:59Z</dcterms:created>
  <dcterms:modified xsi:type="dcterms:W3CDTF">2026-07-01T22:17:12Z</dcterms:modified>
</cp:coreProperties>
</file>